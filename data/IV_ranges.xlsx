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ea\Documents\Business\Fin\2026\"/>
    </mc:Choice>
  </mc:AlternateContent>
  <xr:revisionPtr revIDLastSave="0" documentId="13_ncr:1_{BD6CAADF-CD12-4059-B38E-7102936A97A0}" xr6:coauthVersionLast="47" xr6:coauthVersionMax="47" xr10:uidLastSave="{00000000-0000-0000-0000-000000000000}"/>
  <bookViews>
    <workbookView xWindow="-108" yWindow="-108" windowWidth="23256" windowHeight="12456" xr2:uid="{884DF03D-FDA1-4963-AB89-84B912E83F3C}"/>
  </bookViews>
  <sheets>
    <sheet name="IVLowETF" sheetId="1" r:id="rId1"/>
    <sheet name="LALR" sheetId="2" r:id="rId2"/>
    <sheet name="LAHR" sheetId="3" r:id="rId3"/>
    <sheet name="HALR" sheetId="4" r:id="rId4"/>
    <sheet name="HAHR" sheetId="5" r:id="rId5"/>
    <sheet name="Chart" sheetId="6" r:id="rId6"/>
    <sheet name="Selection" sheetId="7" r:id="rId7"/>
    <sheet name="Portfolio" sheetId="8" r:id="rId8"/>
  </sheets>
  <definedNames>
    <definedName name="_xlnm._FilterDatabase" localSheetId="4" hidden="1">HAHR!$A$1:$P$76</definedName>
    <definedName name="_xlnm._FilterDatabase" localSheetId="3" hidden="1">HALR!$A$1:$Q$12</definedName>
    <definedName name="_xlnm._FilterDatabase" localSheetId="0" hidden="1">IVLowETF!$A$1:$F$110</definedName>
    <definedName name="_xlnm._FilterDatabase" localSheetId="1" hidden="1">LALR!$A$1:$Q$29</definedName>
    <definedName name="_xlnm._FilterDatabase" localSheetId="7" hidden="1">Portfolio!$A$1:$Q$20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8" l="1"/>
  <c r="Q19" i="8"/>
  <c r="Q18" i="8"/>
  <c r="Q17" i="8"/>
  <c r="Q16" i="8"/>
  <c r="Q15" i="8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2" i="5"/>
  <c r="Q14" i="8"/>
  <c r="Q13" i="8"/>
  <c r="Q12" i="8"/>
  <c r="Q11" i="8"/>
  <c r="Q7" i="8"/>
  <c r="Q2" i="8"/>
  <c r="Q3" i="8"/>
  <c r="Q10" i="8"/>
  <c r="Q4" i="8"/>
  <c r="Q6" i="8"/>
  <c r="Q5" i="8"/>
  <c r="Q8" i="8"/>
  <c r="Q9" i="8"/>
  <c r="Q6" i="4"/>
  <c r="Q8" i="4"/>
  <c r="Q11" i="4"/>
  <c r="Q12" i="4"/>
  <c r="Q5" i="4"/>
  <c r="Q16" i="2"/>
  <c r="Q21" i="2"/>
  <c r="Q23" i="2"/>
  <c r="Q25" i="2"/>
  <c r="Q26" i="2"/>
  <c r="Q28" i="2"/>
  <c r="Q29" i="2"/>
  <c r="Q15" i="2"/>
</calcChain>
</file>

<file path=xl/sharedStrings.xml><?xml version="1.0" encoding="utf-8"?>
<sst xmlns="http://schemas.openxmlformats.org/spreadsheetml/2006/main" count="1775" uniqueCount="487">
  <si>
    <t>Last</t>
  </si>
  <si>
    <t>Opt. Volume</t>
  </si>
  <si>
    <t>52 Week IV Low</t>
  </si>
  <si>
    <t>52 Week IV High</t>
  </si>
  <si>
    <t>Opt. Implied Volatility %</t>
  </si>
  <si>
    <t>Type</t>
  </si>
  <si>
    <t>INDEX</t>
  </si>
  <si>
    <t>Name</t>
  </si>
  <si>
    <t>CBOE Market Volatility Index</t>
  </si>
  <si>
    <t>Sector</t>
  </si>
  <si>
    <t>Benchmark</t>
  </si>
  <si>
    <t>Mkt cap.</t>
  </si>
  <si>
    <t>STOCK</t>
  </si>
  <si>
    <t>Medtronic PLC</t>
  </si>
  <si>
    <t>Ocular Therapeutix Inc.</t>
  </si>
  <si>
    <t>ETF</t>
  </si>
  <si>
    <t>Material Select Sector SPDR Fund</t>
  </si>
  <si>
    <t>Materials</t>
  </si>
  <si>
    <t>Invesco CurrencyShares Euro Trust</t>
  </si>
  <si>
    <t>Currency ETF</t>
  </si>
  <si>
    <t>Bitdeer Technologies Group</t>
  </si>
  <si>
    <t>Bitcoin mining</t>
  </si>
  <si>
    <t>SPDR EURO STOXX 50 ETF</t>
  </si>
  <si>
    <t>Large-cap Eurozone equities</t>
  </si>
  <si>
    <t>GraniteShares 2x Long COIN Daily ETF</t>
  </si>
  <si>
    <t>Leveraged COIN (Coinbase)</t>
  </si>
  <si>
    <t>Planet Labs Public Benefit Corp.</t>
  </si>
  <si>
    <t>U.S. Global Jets ETF</t>
  </si>
  <si>
    <t>Airlines &amp; Aviation ETF</t>
  </si>
  <si>
    <t>LHA Market State Tactical US. Equity</t>
  </si>
  <si>
    <t>Financial</t>
  </si>
  <si>
    <t>Plains GP Holdings LP</t>
  </si>
  <si>
    <t>Annaly Capital Management Inc.</t>
  </si>
  <si>
    <t>Enovix Corporation</t>
  </si>
  <si>
    <t>iShares U.S. Real Estate ETF</t>
  </si>
  <si>
    <t>Real Estate</t>
  </si>
  <si>
    <t>Global X Uranium ETF</t>
  </si>
  <si>
    <t>Uranium &amp; nuclear energy</t>
  </si>
  <si>
    <t>Unilever PLC</t>
  </si>
  <si>
    <t>Redwire Corporation</t>
  </si>
  <si>
    <t>Aerospace &amp; Defense</t>
  </si>
  <si>
    <t>Critical Metals Corp.</t>
  </si>
  <si>
    <t>Basic Materials (Metals&amp;Mining)</t>
  </si>
  <si>
    <t>Global X Copper Miners ETF</t>
  </si>
  <si>
    <t>Copper miners</t>
  </si>
  <si>
    <t>Direxion Daily Small Cap Bear 3X Shares</t>
  </si>
  <si>
    <t>-3× daily inverse exposure to the Russell 2000 Index</t>
  </si>
  <si>
    <t>Global X Silver Miners ETF</t>
  </si>
  <si>
    <t>Silver miners</t>
  </si>
  <si>
    <t>TMC the metals company Inc.</t>
  </si>
  <si>
    <t>Direxion Daily FTSE China Bull 3X Shares</t>
  </si>
  <si>
    <t>FTSE China 50 Index with triple daily leverage</t>
  </si>
  <si>
    <t>Industrial Select Sector SPDR Fund</t>
  </si>
  <si>
    <t>US Industrials</t>
  </si>
  <si>
    <t>ProShares UltraPro S&amp;P 500</t>
  </si>
  <si>
    <t>3× leveraged long exposure to the S&amp;P 500</t>
  </si>
  <si>
    <t>Liquidia Corporation</t>
  </si>
  <si>
    <t>Biotechnology</t>
  </si>
  <si>
    <t>Technology Select Sector SPDR Fund</t>
  </si>
  <si>
    <t>U.S. Technology</t>
  </si>
  <si>
    <t>SPDR S&amp;P Retail ETF</t>
  </si>
  <si>
    <t>U.S. Retail industry</t>
  </si>
  <si>
    <t>S&amp;P 500</t>
  </si>
  <si>
    <t>iShares MSCI India ETF</t>
  </si>
  <si>
    <t>Tracks the MSCI India Index</t>
  </si>
  <si>
    <t>Abbot Laboratories</t>
  </si>
  <si>
    <t>AGNC Investment Corp.</t>
  </si>
  <si>
    <t>StubHub Holdings Inc.</t>
  </si>
  <si>
    <t>AXT, Inc.</t>
  </si>
  <si>
    <t>iShares 7–10 Year Treasury Bond ETF</t>
  </si>
  <si>
    <t>ICE U.S. Treasury 7–10 Year Bond Index</t>
  </si>
  <si>
    <t>PepsiCo, Inc.</t>
  </si>
  <si>
    <t>Grail, Inc.</t>
  </si>
  <si>
    <t>Applied Optoelectronics, Inc.</t>
  </si>
  <si>
    <t>Utilities Select Sector SPDR Fund</t>
  </si>
  <si>
    <t>U.S. Utilities — Large‑cap regulated power &amp; gas</t>
  </si>
  <si>
    <t>JFrog Ltd.</t>
  </si>
  <si>
    <t>United States Antimony Corporation</t>
  </si>
  <si>
    <t>Procter &amp; Gamble Co.</t>
  </si>
  <si>
    <t>Intuitive Machines, Inc.</t>
  </si>
  <si>
    <t>Aerospace &amp; Defense — Lunar Landing Systems</t>
  </si>
  <si>
    <t>Energy Transfer LP</t>
  </si>
  <si>
    <t>Kenvue Inc.</t>
  </si>
  <si>
    <t>Hut 8 Corp.</t>
  </si>
  <si>
    <t>SPDR S&amp;P Oil &amp; Gas Exploration &amp; Production ETF</t>
  </si>
  <si>
    <t>Energy — Upstream Oil &amp; Gas (E&amp;P)</t>
  </si>
  <si>
    <t>Lucid Group, Inc.</t>
  </si>
  <si>
    <t>iShares MSCI Japan ETF</t>
  </si>
  <si>
    <t>tracks the MSCI Japan Index</t>
  </si>
  <si>
    <t>Communication Services Select Sector SPDR Fund</t>
  </si>
  <si>
    <t>Communication Services (Large‑Cap)</t>
  </si>
  <si>
    <t>Consumer Staples Select Sector SPDR Fund</t>
  </si>
  <si>
    <t>Consumer Staples (Large‑Cap)</t>
  </si>
  <si>
    <t>Xtrackers Harvest CSI 300 China A‑Shares ETF</t>
  </si>
  <si>
    <t>tracks the CSI 300 Index</t>
  </si>
  <si>
    <t>Johnson &amp; Johnson</t>
  </si>
  <si>
    <t>Verizon Communications Inc.</t>
  </si>
  <si>
    <t>The Coca‑Cola Company</t>
  </si>
  <si>
    <t>Cisco Systems, Inc.</t>
  </si>
  <si>
    <t>iShares iBoxx $ Investment Grade Corporate Bond ETF</t>
  </si>
  <si>
    <t>Fixed Income — U.S. Investment‑Grade Corporate Bonds</t>
  </si>
  <si>
    <t>Invesco Senior Loan ETF</t>
  </si>
  <si>
    <t>Fixed Income — Senior Secured Floating‑Rate Loans</t>
  </si>
  <si>
    <t>Eos Energy Enterprises, Inc.</t>
  </si>
  <si>
    <t>SPDR S&amp;P Biotech ETF</t>
  </si>
  <si>
    <t>Biotechnology — Equal‑Weighted U.S. Biotech Exposure</t>
  </si>
  <si>
    <t>SPDR S&amp;P Regional Banking ETF</t>
  </si>
  <si>
    <t>Financials — U.S. Regional Banks (Equal‑Weighted)</t>
  </si>
  <si>
    <t>AT&amp;T Inc.</t>
  </si>
  <si>
    <t>ARK Innovation ETF — ARK Invest (Cathie Wood)</t>
  </si>
  <si>
    <t>Disruptive Innovation — High‑Growth, High‑Volatility Equities</t>
  </si>
  <si>
    <t>ImmunityBio, Inc.</t>
  </si>
  <si>
    <t>Bloom Energy Corporation</t>
  </si>
  <si>
    <t>TeraWulf Inc.</t>
  </si>
  <si>
    <t>AST SpaceMobile, Inc.</t>
  </si>
  <si>
    <t>iShares Expanded Tech‑Software Sector ETF</t>
  </si>
  <si>
    <t>U.S. Technology — Software &amp; Cloud</t>
  </si>
  <si>
    <t>Financial Select Sector SPDR Fund</t>
  </si>
  <si>
    <t>Large‑Cap Banks, Insurance, Capital Markets</t>
  </si>
  <si>
    <t>iShares MSCI EAFE ETF</t>
  </si>
  <si>
    <t>International Equities — Developed Markets ex‑US &amp; Canada</t>
  </si>
  <si>
    <t>Cipher Mining Inc.</t>
  </si>
  <si>
    <t>iShares China Large‑Cap ETF</t>
  </si>
  <si>
    <t>tracks the FTSE China 50 Index</t>
  </si>
  <si>
    <t>iShares MSCI Brazil ETF</t>
  </si>
  <si>
    <t>racks the MSCI Brazil 25/50 Index</t>
  </si>
  <si>
    <t>iShares MSCI South Korea ETF</t>
  </si>
  <si>
    <t>tracks the MSCI Korea 25/50 Index</t>
  </si>
  <si>
    <t>KraneShares CSI China Internet ETF</t>
  </si>
  <si>
    <t>China Internet &amp; E‑Commerce — Large‑Cap Tech Platforms</t>
  </si>
  <si>
    <t>Direxion Daily Semiconductor Bull 3× Shares</t>
  </si>
  <si>
    <t>3× the DAILY return of the PHLX Semiconductor Index (SOX),</t>
  </si>
  <si>
    <t>Amplify Junior Silver Miners ETF</t>
  </si>
  <si>
    <t>tracks the Nasdaq Junior Silver Miners Index,</t>
  </si>
  <si>
    <t>NuScale Power Corporation</t>
  </si>
  <si>
    <t>iShares MSCI Emerging Markets ETF</t>
  </si>
  <si>
    <t>major EM regions</t>
  </si>
  <si>
    <t>VanEck Gold Miners ETF</t>
  </si>
  <si>
    <t>Precious Metals — Senior Gold Miners</t>
  </si>
  <si>
    <t>Energy Select Sector SPDR Fund</t>
  </si>
  <si>
    <t>U.S. Energy — Integrated Oil, E&amp;P, Refining, Services</t>
  </si>
  <si>
    <t>iShares iBoxx $ High Yield Corporate Bond ETF</t>
  </si>
  <si>
    <t>High‑Yield (“Junk”) Corporate Bonds — USD‑Denominated</t>
  </si>
  <si>
    <t>iShares 20+ Year Treasury Bond ETF</t>
  </si>
  <si>
    <t>U.S. Treasury Bonds — Long‑Duration (20+ Years)</t>
  </si>
  <si>
    <t>Moderna, Inc</t>
  </si>
  <si>
    <t>Riot Platforms, Inc.</t>
  </si>
  <si>
    <t>Bitcoin Mining</t>
  </si>
  <si>
    <t>Bristol‑Myers Squibb Company</t>
  </si>
  <si>
    <t>Pharmaceuticals</t>
  </si>
  <si>
    <t>Merck &amp; Co., Inc.</t>
  </si>
  <si>
    <t>Pharmarceuticals</t>
  </si>
  <si>
    <t>Schlumberger Limited</t>
  </si>
  <si>
    <t>Walmart Inc.</t>
  </si>
  <si>
    <t>Ford Motor Company</t>
  </si>
  <si>
    <t>Automotive</t>
  </si>
  <si>
    <t>iShares Russell 2000 ETF</t>
  </si>
  <si>
    <t>U.S. Small‑Cap Equities — Broad Market Exposure</t>
  </si>
  <si>
    <t>Pfizer Inc.</t>
  </si>
  <si>
    <t>Pharmaceutical</t>
  </si>
  <si>
    <t>Advanced Micro Devices, Inc.</t>
  </si>
  <si>
    <t>Semiconductors</t>
  </si>
  <si>
    <t>NVIDIA Corporation</t>
  </si>
  <si>
    <t>Palantir Technologies Inc.</t>
  </si>
  <si>
    <t>Software</t>
  </si>
  <si>
    <t>Healthcare Products</t>
  </si>
  <si>
    <t>Saetllite Design &amp; Manufacture</t>
  </si>
  <si>
    <t>Graniteshares 2x long AMD fund</t>
  </si>
  <si>
    <t>Oil&amp;Gas Transportation services</t>
  </si>
  <si>
    <t>Mortgage REITs</t>
  </si>
  <si>
    <t>Battery Manufacturing</t>
  </si>
  <si>
    <t>T1 Energy</t>
  </si>
  <si>
    <t>Electrical Components &amp; Equipment</t>
  </si>
  <si>
    <t>Personal Products</t>
  </si>
  <si>
    <t>Specilaty mining &amp; Metals</t>
  </si>
  <si>
    <t>Altria Group Inc.</t>
  </si>
  <si>
    <t>Tobacco Manufacturing</t>
  </si>
  <si>
    <t>Medical Equipment, Supplies &amp; Distribution</t>
  </si>
  <si>
    <t>Mortgage REIT (REIT)</t>
  </si>
  <si>
    <t>Online services</t>
  </si>
  <si>
    <t>Beverages</t>
  </si>
  <si>
    <t>Figure Technology Solutions, Inc.</t>
  </si>
  <si>
    <t>IT Services &amp; Consulting</t>
  </si>
  <si>
    <t>Biotechnology &amp; Medical Research</t>
  </si>
  <si>
    <t>Electronic components</t>
  </si>
  <si>
    <t>Solaris Energy Infrastructure, Inc.</t>
  </si>
  <si>
    <t>Oil related services and equipment</t>
  </si>
  <si>
    <t xml:space="preserve">Software </t>
  </si>
  <si>
    <t>Specialty mining &amp; metals</t>
  </si>
  <si>
    <t>Natural Gas Pipeline Transportation</t>
  </si>
  <si>
    <t>Fermi Inc.</t>
  </si>
  <si>
    <t>Multiline Utilities</t>
  </si>
  <si>
    <t>Electric Vehicles</t>
  </si>
  <si>
    <t>Telecommunications</t>
  </si>
  <si>
    <t>Communications &amp; Networking</t>
  </si>
  <si>
    <t>Batteries</t>
  </si>
  <si>
    <t>Electrical Equipment</t>
  </si>
  <si>
    <t>Bitcoing Mining</t>
  </si>
  <si>
    <t>Satellite Communications</t>
  </si>
  <si>
    <t>Energy - Nuclear</t>
  </si>
  <si>
    <t>Coreweave, Inc.</t>
  </si>
  <si>
    <t>Cloud Computing Services</t>
  </si>
  <si>
    <t>Oil related services and Equipment</t>
  </si>
  <si>
    <t>Food &amp; Retail Distribution</t>
  </si>
  <si>
    <t>MARA Holdings, Inc.</t>
  </si>
  <si>
    <t>Apple Inc.</t>
  </si>
  <si>
    <t>Computers</t>
  </si>
  <si>
    <t>Amazon.com Inc</t>
  </si>
  <si>
    <t>Electronic shopping</t>
  </si>
  <si>
    <t>Intel Corp.</t>
  </si>
  <si>
    <t>SPDR Gold Shares</t>
  </si>
  <si>
    <t>Precious metals</t>
  </si>
  <si>
    <t>Invesco QQQ Trust series 1</t>
  </si>
  <si>
    <t>Nasdaq-100</t>
  </si>
  <si>
    <t>SS SPDR S&amp;P 500 ETF</t>
  </si>
  <si>
    <t>Alphabet Inc.</t>
  </si>
  <si>
    <t>Internet</t>
  </si>
  <si>
    <t>Ticker</t>
  </si>
  <si>
    <t>Banks</t>
  </si>
  <si>
    <t>Media</t>
  </si>
  <si>
    <t>Commercial Services</t>
  </si>
  <si>
    <t>Retail</t>
  </si>
  <si>
    <t>Apparel</t>
  </si>
  <si>
    <t>Bitcoin</t>
  </si>
  <si>
    <t>Airlines</t>
  </si>
  <si>
    <t>Diversified Financial Services</t>
  </si>
  <si>
    <t>Stock</t>
  </si>
  <si>
    <t>MDT</t>
  </si>
  <si>
    <t>OCUL</t>
  </si>
  <si>
    <t>XLB</t>
  </si>
  <si>
    <t>FXE</t>
  </si>
  <si>
    <t>BTDR</t>
  </si>
  <si>
    <t>FEZ</t>
  </si>
  <si>
    <t>CONL</t>
  </si>
  <si>
    <t>PL</t>
  </si>
  <si>
    <t>AMDL</t>
  </si>
  <si>
    <t>JETS</t>
  </si>
  <si>
    <t>MSTU</t>
  </si>
  <si>
    <t>PAGP</t>
  </si>
  <si>
    <t>NLY</t>
  </si>
  <si>
    <t>ENVX</t>
  </si>
  <si>
    <t>TE</t>
  </si>
  <si>
    <t>IYR</t>
  </si>
  <si>
    <t>URA</t>
  </si>
  <si>
    <t>UL</t>
  </si>
  <si>
    <t>RDW</t>
  </si>
  <si>
    <t>CRML</t>
  </si>
  <si>
    <t>COPX</t>
  </si>
  <si>
    <t>TZA</t>
  </si>
  <si>
    <t>SIL</t>
  </si>
  <si>
    <t>TMC</t>
  </si>
  <si>
    <t>YINN</t>
  </si>
  <si>
    <t>XLI</t>
  </si>
  <si>
    <t>UPRO</t>
  </si>
  <si>
    <t>LQDA</t>
  </si>
  <si>
    <t>XLK</t>
  </si>
  <si>
    <t>XRT</t>
  </si>
  <si>
    <t>MO</t>
  </si>
  <si>
    <t>INDA</t>
  </si>
  <si>
    <t>ABT</t>
  </si>
  <si>
    <t>AGNC</t>
  </si>
  <si>
    <t>STUB</t>
  </si>
  <si>
    <t>AXTI</t>
  </si>
  <si>
    <t>IEF</t>
  </si>
  <si>
    <t>PEP</t>
  </si>
  <si>
    <t>FIGR</t>
  </si>
  <si>
    <t>GRAL</t>
  </si>
  <si>
    <t>AAOI</t>
  </si>
  <si>
    <t>SEI</t>
  </si>
  <si>
    <t>XLU</t>
  </si>
  <si>
    <t>FROG</t>
  </si>
  <si>
    <t>UAMY</t>
  </si>
  <si>
    <t>PG</t>
  </si>
  <si>
    <t>LUNR</t>
  </si>
  <si>
    <t>ET</t>
  </si>
  <si>
    <t>KVUE</t>
  </si>
  <si>
    <t>HUT</t>
  </si>
  <si>
    <t>FRMI</t>
  </si>
  <si>
    <t>XOP</t>
  </si>
  <si>
    <t>LCID</t>
  </si>
  <si>
    <t>EWJ</t>
  </si>
  <si>
    <t>XLC</t>
  </si>
  <si>
    <t>XLP</t>
  </si>
  <si>
    <t>ASHR</t>
  </si>
  <si>
    <t>JNJ</t>
  </si>
  <si>
    <t>VZ</t>
  </si>
  <si>
    <t>KO</t>
  </si>
  <si>
    <t>CSCO</t>
  </si>
  <si>
    <t>LQD</t>
  </si>
  <si>
    <t>BKLN</t>
  </si>
  <si>
    <t>EOSE</t>
  </si>
  <si>
    <t>XBI</t>
  </si>
  <si>
    <t>KRE</t>
  </si>
  <si>
    <t>T</t>
  </si>
  <si>
    <t>ARKK</t>
  </si>
  <si>
    <t>IBRX</t>
  </si>
  <si>
    <t>BE</t>
  </si>
  <si>
    <t>WULF</t>
  </si>
  <si>
    <t>ASTS</t>
  </si>
  <si>
    <t>IGV</t>
  </si>
  <si>
    <t>XLF</t>
  </si>
  <si>
    <t>EFA</t>
  </si>
  <si>
    <t>CIFR</t>
  </si>
  <si>
    <t>FXI</t>
  </si>
  <si>
    <t>EWZ</t>
  </si>
  <si>
    <t>EWY</t>
  </si>
  <si>
    <t>KWEB</t>
  </si>
  <si>
    <t>SOXL</t>
  </si>
  <si>
    <t>SILJ</t>
  </si>
  <si>
    <t>SMR</t>
  </si>
  <si>
    <t>EEM</t>
  </si>
  <si>
    <t>GDX</t>
  </si>
  <si>
    <t>XLE</t>
  </si>
  <si>
    <t>BMY</t>
  </si>
  <si>
    <t>MRK</t>
  </si>
  <si>
    <t>CRWV</t>
  </si>
  <si>
    <t>SLB</t>
  </si>
  <si>
    <t>HYG</t>
  </si>
  <si>
    <t>TLT</t>
  </si>
  <si>
    <t>MRNA</t>
  </si>
  <si>
    <t>RIOT</t>
  </si>
  <si>
    <t>WMT</t>
  </si>
  <si>
    <t>F</t>
  </si>
  <si>
    <t>MARA</t>
  </si>
  <si>
    <t>IWM</t>
  </si>
  <si>
    <t>PFE</t>
  </si>
  <si>
    <t>AMD</t>
  </si>
  <si>
    <t>PLTR</t>
  </si>
  <si>
    <t>AAPL</t>
  </si>
  <si>
    <t>AMZN</t>
  </si>
  <si>
    <t>INTC</t>
  </si>
  <si>
    <t>GLD</t>
  </si>
  <si>
    <t>QQQ</t>
  </si>
  <si>
    <t>NVDA</t>
  </si>
  <si>
    <t>SPY</t>
  </si>
  <si>
    <t>GOOG</t>
  </si>
  <si>
    <t>BAC</t>
  </si>
  <si>
    <t>WBD</t>
  </si>
  <si>
    <t>PYPL</t>
  </si>
  <si>
    <t>PANW</t>
  </si>
  <si>
    <t>NFLX</t>
  </si>
  <si>
    <t>NOK</t>
  </si>
  <si>
    <t>NKE</t>
  </si>
  <si>
    <t>GME</t>
  </si>
  <si>
    <t>BABA</t>
  </si>
  <si>
    <t>IBIT</t>
  </si>
  <si>
    <t>USO</t>
  </si>
  <si>
    <t>AAL</t>
  </si>
  <si>
    <t>SOFI</t>
  </si>
  <si>
    <t>SNAP</t>
  </si>
  <si>
    <t>NIO</t>
  </si>
  <si>
    <t>HOOD</t>
  </si>
  <si>
    <t>OWL</t>
  </si>
  <si>
    <t>COIN</t>
  </si>
  <si>
    <t>ETHA</t>
  </si>
  <si>
    <t>SMCI</t>
  </si>
  <si>
    <t>ORCL</t>
  </si>
  <si>
    <t>MSTR</t>
  </si>
  <si>
    <t>Good price</t>
  </si>
  <si>
    <t>Good OI</t>
  </si>
  <si>
    <t>Good sector</t>
  </si>
  <si>
    <t>yes</t>
  </si>
  <si>
    <t>no</t>
  </si>
  <si>
    <t>Currencies</t>
  </si>
  <si>
    <t>Industrials</t>
  </si>
  <si>
    <t>Financials</t>
  </si>
  <si>
    <t>Bonds</t>
  </si>
  <si>
    <t>Consumer</t>
  </si>
  <si>
    <t>Utilities</t>
  </si>
  <si>
    <t>Alternative to</t>
  </si>
  <si>
    <t>Communications</t>
  </si>
  <si>
    <t>CSCO, VZ, XLC</t>
  </si>
  <si>
    <t>VZ, XLC,T</t>
  </si>
  <si>
    <t>XLC, CSCO, T</t>
  </si>
  <si>
    <t>VZ, CSCO, T</t>
  </si>
  <si>
    <t>International</t>
  </si>
  <si>
    <t>Energy</t>
  </si>
  <si>
    <t>KO, PEP, PG, XLP</t>
  </si>
  <si>
    <t>PEP,PG.XLP,WMT</t>
  </si>
  <si>
    <t>PEP, PG, KO,WMT</t>
  </si>
  <si>
    <t>XLP,KO,PEP;WMT</t>
  </si>
  <si>
    <t>XLP, KO, PG, WMT</t>
  </si>
  <si>
    <t>Indexes</t>
  </si>
  <si>
    <t>JNJ, PFE</t>
  </si>
  <si>
    <t>ABT, PFE</t>
  </si>
  <si>
    <t>ABT, JNJ</t>
  </si>
  <si>
    <t>Precious</t>
  </si>
  <si>
    <t>In chart</t>
  </si>
  <si>
    <t>In portfolio</t>
  </si>
  <si>
    <t>STCK</t>
  </si>
  <si>
    <t>unsure</t>
  </si>
  <si>
    <t>Biotech</t>
  </si>
  <si>
    <t>Bitcoin m.</t>
  </si>
  <si>
    <t>Aerospace</t>
  </si>
  <si>
    <t>COPX, TMC</t>
  </si>
  <si>
    <t>Technology</t>
  </si>
  <si>
    <t>CRML, TMC, COPX</t>
  </si>
  <si>
    <t>CRML, COPX, UAMY</t>
  </si>
  <si>
    <t>CRML, TMC,UAMY</t>
  </si>
  <si>
    <t>Yes</t>
  </si>
  <si>
    <t>JETS, PL, LUNR</t>
  </si>
  <si>
    <t>JETS, PL, ASTS</t>
  </si>
  <si>
    <t>PL, LUNR,ASTS</t>
  </si>
  <si>
    <t>JETS, LUNR, ASTS</t>
  </si>
  <si>
    <t xml:space="preserve">SIL </t>
  </si>
  <si>
    <t>Commodities</t>
  </si>
  <si>
    <t>TE, EOSE, BE, SMR</t>
  </si>
  <si>
    <t>ENVX, EOSE, BE, SMR</t>
  </si>
  <si>
    <t>ENVX, TE, BE, SMR</t>
  </si>
  <si>
    <t>ENVX, TE, EOSE, SMR</t>
  </si>
  <si>
    <t>ENVX, TE, EOSE,BE</t>
  </si>
  <si>
    <t>OCUL, LQDA, GRAL, IBRX</t>
  </si>
  <si>
    <t>OCUL, LQDA, GRAL, MRNA</t>
  </si>
  <si>
    <t>OCUL, LQDA, IBRX, MRNA</t>
  </si>
  <si>
    <t>OCUL, GRAL, IBRX, MRNA</t>
  </si>
  <si>
    <t>LQDA, GRAL, IBRX, MRNA</t>
  </si>
  <si>
    <t>AXTI, AMD, INTC</t>
  </si>
  <si>
    <t>AXTI, AMD, NVDA</t>
  </si>
  <si>
    <t>AMD, INTC, NVDA</t>
  </si>
  <si>
    <t>AXTI, INTC, NVDA</t>
  </si>
  <si>
    <t>Bank of America</t>
  </si>
  <si>
    <t>Warner Bros</t>
  </si>
  <si>
    <t>Entertainment</t>
  </si>
  <si>
    <t>Palo Alto Networks, Inc</t>
  </si>
  <si>
    <t>Netflix</t>
  </si>
  <si>
    <t>Nokia</t>
  </si>
  <si>
    <t>Nike</t>
  </si>
  <si>
    <t>GameStop Corp.</t>
  </si>
  <si>
    <t>WBD, NFLX</t>
  </si>
  <si>
    <t>WBD, GME</t>
  </si>
  <si>
    <t>NFLX, GME</t>
  </si>
  <si>
    <t>AliBaba</t>
  </si>
  <si>
    <t>iShares Bitcoin Trust ETF</t>
  </si>
  <si>
    <t>United States Oil Fund</t>
  </si>
  <si>
    <t>PAGP, SEI, ET, XOP, SLB</t>
  </si>
  <si>
    <t>SEI, ET, XOP, SLB, USO</t>
  </si>
  <si>
    <t>PAGP, ET, XOP, SLB, USO</t>
  </si>
  <si>
    <t>PAGP, SEI, XOP, SLB, USO</t>
  </si>
  <si>
    <t>PAGP, SEI, ET, SLB, USO</t>
  </si>
  <si>
    <t>PAGP, SEI, ET, XOP, USO</t>
  </si>
  <si>
    <t>American Airlines</t>
  </si>
  <si>
    <t>Transportation</t>
  </si>
  <si>
    <t>SoFi Technologies, Inc.</t>
  </si>
  <si>
    <t>Snap Inc. </t>
  </si>
  <si>
    <t>STUB, PANW, BABA</t>
  </si>
  <si>
    <t>PANW, BABA, SNAP</t>
  </si>
  <si>
    <t>STUB, BABA, SNAP</t>
  </si>
  <si>
    <t>STUB, PANW, SNAP</t>
  </si>
  <si>
    <t>NIO Inc.</t>
  </si>
  <si>
    <t>Robinhood Markets, Inc.</t>
  </si>
  <si>
    <t>Blue Owl Capital Inc.</t>
  </si>
  <si>
    <t>LQD, BKLN, BAC, SOFI,HOOD</t>
  </si>
  <si>
    <t>BKLN, BAC, SOFI, HOOD, OWL</t>
  </si>
  <si>
    <t>LQD, BAC, SOFI, HOOD, OWL</t>
  </si>
  <si>
    <t>LQD, BKLN, SOFI, HOOD, OWL</t>
  </si>
  <si>
    <t>LQD, BKLN, BAC, HOOD, OWL</t>
  </si>
  <si>
    <t>LQD, BKLN, BAC, SOFI, OWL</t>
  </si>
  <si>
    <t>Coinbase Global, Inc.</t>
  </si>
  <si>
    <t>iShares Ethereum Trust ETF</t>
  </si>
  <si>
    <t>Super Micro Computer, Inc.</t>
  </si>
  <si>
    <t>AAOI, XLK, ARKK, IGV, AAPL, NOK</t>
  </si>
  <si>
    <t>AAOI, ARKK, IGV, AAPL, NOK, SMCI</t>
  </si>
  <si>
    <t>XLK, ARKK, IGV, AAPL, NOK,SMCI</t>
  </si>
  <si>
    <t>AAOI, XLK, IGV, AAPL, NOKS, SMCI</t>
  </si>
  <si>
    <t>AAOI, XLK, ARKK, AAPL, NOK, SMCI</t>
  </si>
  <si>
    <t>AAOI, XLK, ARKK, IGV, NOK, SMCI</t>
  </si>
  <si>
    <t>AAOI, XLK, ARKK, IGV, AAPL, SMCI</t>
  </si>
  <si>
    <t>Oracle</t>
  </si>
  <si>
    <t>FROG, FIGR, CRWV, PLTR</t>
  </si>
  <si>
    <t>FROG, CRWV, PLTR, ORCL</t>
  </si>
  <si>
    <t>FIGR, CRWV, PLTR, ORCL</t>
  </si>
  <si>
    <t>FROG, FIGR, PLTR, ORCL</t>
  </si>
  <si>
    <t>FROG, FIGR, CRWV, ORCL</t>
  </si>
  <si>
    <t>Strategy Inc.</t>
  </si>
  <si>
    <t>BTDR, HUT, WULF, CIFR, RIOT, MARA, IBIT, COIN, ETHA</t>
  </si>
  <si>
    <t>HUT, WULF, CIFR, RIOT, MARA, IBIT, COIN, ETHA, MSTR</t>
  </si>
  <si>
    <t>BTDR, HUT, CIFR, RIOT, MARA, IBIT, COIN, ETHA, MSTR</t>
  </si>
  <si>
    <t>BTDR, HUT, WULF, RIOT, MARA, IBIT, COIN, ETHA, MSTR</t>
  </si>
  <si>
    <t>BTDR, HUT, WULF, CIFR, MARA, IBIT, COIN, ETHA, MSTR</t>
  </si>
  <si>
    <t>BTDR, HUT, WULF, CIFR, RIOT, IBIT, COIN, ETHA, MSTR</t>
  </si>
  <si>
    <t>BTDR, HUT, WULF, CIFR, RIOT, MARA, COIN, ETHA, MSTR</t>
  </si>
  <si>
    <t>BTDR, HUT, WULF, CIFR, RIOT, MARA, IBIT, ETHA, MSTR</t>
  </si>
  <si>
    <t>BTDR, HUT, WULF, CIFR, RIOT, MARA, IBIT, COIN, MSTR</t>
  </si>
  <si>
    <t>BDTR, WULF, CIFR, RIOT, MARA, IBIT, COIN, ETHA, MSTR</t>
  </si>
  <si>
    <t>Count of Good sector</t>
  </si>
  <si>
    <t>Paypal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</si>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</sst>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ndara"/>
      <family val="2"/>
    </font>
    <font>
      <sz val="11"/>
      <color theme="1"/>
      <name val="Candar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ndara"/>
      <family val="2"/>
    </font>
    <font>
      <b/>
      <sz val="13"/>
      <color theme="3"/>
      <name val="Candara"/>
      <family val="2"/>
    </font>
    <font>
      <b/>
      <sz val="11"/>
      <color theme="3"/>
      <name val="Candara"/>
      <family val="2"/>
    </font>
    <font>
      <sz val="11"/>
      <color rgb="FF006100"/>
      <name val="Candara"/>
      <family val="2"/>
    </font>
    <font>
      <sz val="11"/>
      <color rgb="FF9C0006"/>
      <name val="Candara"/>
      <family val="2"/>
    </font>
    <font>
      <sz val="11"/>
      <color rgb="FF9C5700"/>
      <name val="Candara"/>
      <family val="2"/>
    </font>
    <font>
      <sz val="11"/>
      <color rgb="FF3F3F76"/>
      <name val="Candara"/>
      <family val="2"/>
    </font>
    <font>
      <b/>
      <sz val="11"/>
      <color rgb="FF3F3F3F"/>
      <name val="Candara"/>
      <family val="2"/>
    </font>
    <font>
      <b/>
      <sz val="11"/>
      <color rgb="FFFA7D00"/>
      <name val="Candara"/>
      <family val="2"/>
    </font>
    <font>
      <sz val="11"/>
      <color rgb="FFFA7D00"/>
      <name val="Candara"/>
      <family val="2"/>
    </font>
    <font>
      <b/>
      <sz val="11"/>
      <color theme="0"/>
      <name val="Candara"/>
      <family val="2"/>
    </font>
    <font>
      <sz val="11"/>
      <color rgb="FFFF0000"/>
      <name val="Candara"/>
      <family val="2"/>
    </font>
    <font>
      <i/>
      <sz val="11"/>
      <color rgb="FF7F7F7F"/>
      <name val="Candara"/>
      <family val="2"/>
    </font>
    <font>
      <b/>
      <sz val="11"/>
      <color theme="1"/>
      <name val="Candara"/>
      <family val="2"/>
    </font>
    <font>
      <sz val="11"/>
      <color theme="0"/>
      <name val="Candara"/>
      <family val="2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18" fillId="0" borderId="0" xfId="0" applyFont="1"/>
    <xf numFmtId="2" fontId="18" fillId="0" borderId="0" xfId="0" quotePrefix="1" applyNumberFormat="1" applyFont="1"/>
    <xf numFmtId="10" fontId="18" fillId="0" borderId="0" xfId="0" applyNumberFormat="1" applyFont="1"/>
    <xf numFmtId="2" fontId="18" fillId="0" borderId="0" xfId="0" applyNumberFormat="1" applyFont="1"/>
    <xf numFmtId="10" fontId="18" fillId="0" borderId="0" xfId="42" applyNumberFormat="1" applyFont="1"/>
    <xf numFmtId="164" fontId="18" fillId="0" borderId="0" xfId="0" applyNumberFormat="1" applyFont="1"/>
    <xf numFmtId="0" fontId="18" fillId="33" borderId="0" xfId="0" applyFont="1" applyFill="1"/>
    <xf numFmtId="0" fontId="18" fillId="34" borderId="0" xfId="0" applyFont="1" applyFill="1"/>
    <xf numFmtId="2" fontId="18" fillId="34" borderId="0" xfId="0" quotePrefix="1" applyNumberFormat="1" applyFont="1" applyFill="1"/>
    <xf numFmtId="10" fontId="18" fillId="34" borderId="0" xfId="0" applyNumberFormat="1" applyFont="1" applyFill="1"/>
    <xf numFmtId="2" fontId="18" fillId="34" borderId="0" xfId="0" applyNumberFormat="1" applyFont="1" applyFill="1"/>
    <xf numFmtId="164" fontId="18" fillId="34" borderId="0" xfId="0" applyNumberFormat="1" applyFont="1" applyFill="1"/>
    <xf numFmtId="0" fontId="8" fillId="4" borderId="0" xfId="8"/>
    <xf numFmtId="0" fontId="0" fillId="34" borderId="0" xfId="0" applyFill="1"/>
    <xf numFmtId="10" fontId="18" fillId="34" borderId="0" xfId="42" applyNumberFormat="1" applyFont="1" applyFill="1"/>
    <xf numFmtId="0" fontId="18" fillId="35" borderId="0" xfId="0" applyFont="1" applyFill="1"/>
    <xf numFmtId="2" fontId="18" fillId="35" borderId="0" xfId="0" quotePrefix="1" applyNumberFormat="1" applyFont="1" applyFill="1"/>
    <xf numFmtId="10" fontId="18" fillId="35" borderId="0" xfId="0" applyNumberFormat="1" applyFont="1" applyFill="1"/>
    <xf numFmtId="164" fontId="18" fillId="35" borderId="0" xfId="0" applyNumberFormat="1" applyFont="1" applyFill="1"/>
    <xf numFmtId="0" fontId="18" fillId="36" borderId="0" xfId="0" applyFont="1" applyFill="1"/>
    <xf numFmtId="2" fontId="18" fillId="36" borderId="0" xfId="0" quotePrefix="1" applyNumberFormat="1" applyFont="1" applyFill="1"/>
    <xf numFmtId="10" fontId="18" fillId="36" borderId="0" xfId="0" applyNumberFormat="1" applyFont="1" applyFill="1"/>
    <xf numFmtId="164" fontId="18" fillId="36" borderId="0" xfId="0" applyNumberFormat="1" applyFont="1" applyFill="1"/>
    <xf numFmtId="0" fontId="19" fillId="4" borderId="0" xfId="8" applyFont="1"/>
    <xf numFmtId="2" fontId="18" fillId="36" borderId="0" xfId="0" applyNumberFormat="1" applyFont="1" applyFill="1"/>
    <xf numFmtId="10" fontId="18" fillId="36" borderId="0" xfId="42" applyNumberFormat="1" applyFont="1" applyFill="1"/>
    <xf numFmtId="0" fontId="18" fillId="37" borderId="0" xfId="0" applyFont="1" applyFill="1"/>
    <xf numFmtId="2" fontId="18" fillId="37" borderId="0" xfId="0" quotePrefix="1" applyNumberFormat="1" applyFont="1" applyFill="1"/>
    <xf numFmtId="10" fontId="18" fillId="37" borderId="0" xfId="0" applyNumberFormat="1" applyFont="1" applyFill="1"/>
    <xf numFmtId="164" fontId="18" fillId="37" borderId="0" xfId="0" applyNumberFormat="1" applyFont="1" applyFill="1"/>
    <xf numFmtId="2" fontId="18" fillId="37" borderId="0" xfId="0" applyNumberFormat="1" applyFont="1" applyFill="1"/>
    <xf numFmtId="0" fontId="0" fillId="37" borderId="0" xfId="0" applyFill="1"/>
    <xf numFmtId="10" fontId="18" fillId="37" borderId="0" xfId="42" applyNumberFormat="1" applyFont="1" applyFill="1"/>
    <xf numFmtId="0" fontId="18" fillId="38" borderId="0" xfId="0" applyFont="1" applyFill="1"/>
    <xf numFmtId="2" fontId="18" fillId="38" borderId="0" xfId="0" applyNumberFormat="1" applyFont="1" applyFill="1"/>
    <xf numFmtId="10" fontId="18" fillId="38" borderId="0" xfId="42" applyNumberFormat="1" applyFont="1" applyFill="1"/>
    <xf numFmtId="164" fontId="18" fillId="38" borderId="0" xfId="0" applyNumberFormat="1" applyFont="1" applyFill="1"/>
    <xf numFmtId="0" fontId="0" fillId="0" borderId="0" xfId="0" pivotButt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[IV_ranges.xlsx]Chart!PivotTable5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125556270224403E-2"/>
              <c:y val="-7.50848228832708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9625238401524773E-2"/>
              <c:y val="-8.08605784896763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9000635737399398E-3"/>
              <c:y val="-9.52999675056899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025619843964416E-2"/>
              <c:y val="-7.50848228832708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85009536060991E-2"/>
              <c:y val="7.50848228832708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665085824548923"/>
              <c:y val="-3.7542411441635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7150540376789511E-2"/>
              <c:y val="-6.06454338672572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2825746991444288E-2"/>
              <c:y val="-6.06454338672572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1100572163659476E-2"/>
              <c:y val="-1.73272668192163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50095360609912"/>
              <c:y val="1.73272668192162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82574699144433E-2"/>
              <c:y val="-2.59909002288246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072581056518425"/>
              <c:y val="3.46545336384326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4925683417704331E-2"/>
              <c:y val="4.33181670480408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450349655569667E-2"/>
              <c:y val="7.79727006864736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250476803049913E-3"/>
              <c:y val="8.6636334096081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575270188394742E-2"/>
              <c:y val="7.79727006864734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100572163659531E-2"/>
              <c:y val="5.77575560640543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100572163659462E-2"/>
              <c:y val="6.06454338672572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025619843964263E-2"/>
              <c:y val="6.93090672768653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025619843964346E-2"/>
              <c:y val="-4.33181670480408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539-4DFF-9275-A6694C6A14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39-4DFF-9275-A6694C6A14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539-4DFF-9275-A6694C6A14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539-4DFF-9275-A6694C6A14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539-4DFF-9275-A6694C6A14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539-4DFF-9275-A6694C6A14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539-4DFF-9275-A6694C6A14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539-4DFF-9275-A6694C6A14C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539-4DFF-9275-A6694C6A14C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539-4DFF-9275-A6694C6A14C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539-4DFF-9275-A6694C6A14C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539-4DFF-9275-A6694C6A14C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539-4DFF-9275-A6694C6A14C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39-4DFF-9275-A6694C6A14C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539-4DFF-9275-A6694C6A14C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39-4DFF-9275-A6694C6A14C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539-4DFF-9275-A6694C6A14C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39-4DFF-9275-A6694C6A14C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39-4DFF-9275-A6694C6A14C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539-4DFF-9275-A6694C6A14C0}"/>
              </c:ext>
            </c:extLst>
          </c:dPt>
          <c:dLbls>
            <c:dLbl>
              <c:idx val="0"/>
              <c:layout>
                <c:manualLayout>
                  <c:x val="-1.185009536060991E-2"/>
                  <c:y val="7.50848228832708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39-4DFF-9275-A6694C6A14C0}"/>
                </c:ext>
              </c:extLst>
            </c:dLbl>
            <c:dLbl>
              <c:idx val="1"/>
              <c:layout>
                <c:manualLayout>
                  <c:x val="2.9625238401524773E-2"/>
                  <c:y val="-8.08605784896763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39-4DFF-9275-A6694C6A14C0}"/>
                </c:ext>
              </c:extLst>
            </c:dLbl>
            <c:dLbl>
              <c:idx val="2"/>
              <c:layout>
                <c:manualLayout>
                  <c:x val="6.9125556270224403E-2"/>
                  <c:y val="-7.50848228832708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39-4DFF-9275-A6694C6A14C0}"/>
                </c:ext>
              </c:extLst>
            </c:dLbl>
            <c:dLbl>
              <c:idx val="3"/>
              <c:layout>
                <c:manualLayout>
                  <c:x val="7.7025619843964346E-2"/>
                  <c:y val="-4.33181670480408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39-4DFF-9275-A6694C6A14C0}"/>
                </c:ext>
              </c:extLst>
            </c:dLbl>
            <c:dLbl>
              <c:idx val="4"/>
              <c:layout>
                <c:manualLayout>
                  <c:x val="7.7025619843964263E-2"/>
                  <c:y val="6.93090672768653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539-4DFF-9275-A6694C6A14C0}"/>
                </c:ext>
              </c:extLst>
            </c:dLbl>
            <c:dLbl>
              <c:idx val="5"/>
              <c:layout>
                <c:manualLayout>
                  <c:x val="7.1100572163659462E-2"/>
                  <c:y val="6.06454338672572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539-4DFF-9275-A6694C6A14C0}"/>
                </c:ext>
              </c:extLst>
            </c:dLbl>
            <c:dLbl>
              <c:idx val="6"/>
              <c:layout>
                <c:manualLayout>
                  <c:x val="7.1100572163659531E-2"/>
                  <c:y val="5.77575560640543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539-4DFF-9275-A6694C6A14C0}"/>
                </c:ext>
              </c:extLst>
            </c:dLbl>
            <c:dLbl>
              <c:idx val="7"/>
              <c:layout>
                <c:manualLayout>
                  <c:x val="3.3575270188394742E-2"/>
                  <c:y val="7.79727006864734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539-4DFF-9275-A6694C6A14C0}"/>
                </c:ext>
              </c:extLst>
            </c:dLbl>
            <c:dLbl>
              <c:idx val="8"/>
              <c:layout>
                <c:manualLayout>
                  <c:x val="-5.9250476803049913E-3"/>
                  <c:y val="8.66363340960817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539-4DFF-9275-A6694C6A14C0}"/>
                </c:ext>
              </c:extLst>
            </c:dLbl>
            <c:dLbl>
              <c:idx val="9"/>
              <c:layout>
                <c:manualLayout>
                  <c:x val="-4.3450349655569667E-2"/>
                  <c:y val="7.79727006864736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539-4DFF-9275-A6694C6A14C0}"/>
                </c:ext>
              </c:extLst>
            </c:dLbl>
            <c:dLbl>
              <c:idx val="10"/>
              <c:layout>
                <c:manualLayout>
                  <c:x val="-8.4925683417704331E-2"/>
                  <c:y val="4.33181670480408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539-4DFF-9275-A6694C6A14C0}"/>
                </c:ext>
              </c:extLst>
            </c:dLbl>
            <c:dLbl>
              <c:idx val="11"/>
              <c:layout>
                <c:manualLayout>
                  <c:x val="-0.10072581056518425"/>
                  <c:y val="3.465453363843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539-4DFF-9275-A6694C6A14C0}"/>
                </c:ext>
              </c:extLst>
            </c:dLbl>
            <c:dLbl>
              <c:idx val="12"/>
              <c:layout>
                <c:manualLayout>
                  <c:x val="9.282574699144433E-2"/>
                  <c:y val="-2.599090022882462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539-4DFF-9275-A6694C6A14C0}"/>
                </c:ext>
              </c:extLst>
            </c:dLbl>
            <c:dLbl>
              <c:idx val="13"/>
              <c:layout>
                <c:manualLayout>
                  <c:x val="-0.11850095360609912"/>
                  <c:y val="1.73272668192162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39-4DFF-9275-A6694C6A14C0}"/>
                </c:ext>
              </c:extLst>
            </c:dLbl>
            <c:dLbl>
              <c:idx val="14"/>
              <c:layout>
                <c:manualLayout>
                  <c:x val="-7.1100572163659476E-2"/>
                  <c:y val="-1.73272668192163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39-4DFF-9275-A6694C6A14C0}"/>
                </c:ext>
              </c:extLst>
            </c:dLbl>
            <c:dLbl>
              <c:idx val="15"/>
              <c:layout>
                <c:manualLayout>
                  <c:x val="-9.2825746991444288E-2"/>
                  <c:y val="-6.06454338672572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39-4DFF-9275-A6694C6A14C0}"/>
                </c:ext>
              </c:extLst>
            </c:dLbl>
            <c:dLbl>
              <c:idx val="16"/>
              <c:layout>
                <c:manualLayout>
                  <c:x val="-6.7150540376789511E-2"/>
                  <c:y val="-6.06454338672572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39-4DFF-9275-A6694C6A14C0}"/>
                </c:ext>
              </c:extLst>
            </c:dLbl>
            <c:dLbl>
              <c:idx val="17"/>
              <c:layout>
                <c:manualLayout>
                  <c:x val="-0.10665085824548923"/>
                  <c:y val="-3.75424114416354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39-4DFF-9275-A6694C6A14C0}"/>
                </c:ext>
              </c:extLst>
            </c:dLbl>
            <c:dLbl>
              <c:idx val="18"/>
              <c:layout>
                <c:manualLayout>
                  <c:x val="-7.7025619843964416E-2"/>
                  <c:y val="-7.508482288327086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39-4DFF-9275-A6694C6A14C0}"/>
                </c:ext>
              </c:extLst>
            </c:dLbl>
            <c:dLbl>
              <c:idx val="19"/>
              <c:layout>
                <c:manualLayout>
                  <c:x val="7.9000635737399398E-3"/>
                  <c:y val="-9.52999675056899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39-4DFF-9275-A6694C6A14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Chart!$A$4:$A$23</c:f>
              <c:strCache>
                <c:ptCount val="20"/>
                <c:pt idx="0">
                  <c:v>Aerospace</c:v>
                </c:pt>
                <c:pt idx="1">
                  <c:v>Automotive</c:v>
                </c:pt>
                <c:pt idx="2">
                  <c:v>Biotech</c:v>
                </c:pt>
                <c:pt idx="3">
                  <c:v>Bitcoin m.</c:v>
                </c:pt>
                <c:pt idx="4">
                  <c:v>Commodities</c:v>
                </c:pt>
                <c:pt idx="5">
                  <c:v>Consumer</c:v>
                </c:pt>
                <c:pt idx="6">
                  <c:v>Energy</c:v>
                </c:pt>
                <c:pt idx="7">
                  <c:v>Entertainment</c:v>
                </c:pt>
                <c:pt idx="8">
                  <c:v>Financial</c:v>
                </c:pt>
                <c:pt idx="9">
                  <c:v>International</c:v>
                </c:pt>
                <c:pt idx="10">
                  <c:v>Internet</c:v>
                </c:pt>
                <c:pt idx="11">
                  <c:v>Materials</c:v>
                </c:pt>
                <c:pt idx="12">
                  <c:v>Precious</c:v>
                </c:pt>
                <c:pt idx="13">
                  <c:v>Real Estate</c:v>
                </c:pt>
                <c:pt idx="14">
                  <c:v>Retail</c:v>
                </c:pt>
                <c:pt idx="15">
                  <c:v>Semiconductors</c:v>
                </c:pt>
                <c:pt idx="16">
                  <c:v>Software</c:v>
                </c:pt>
                <c:pt idx="17">
                  <c:v>Technology</c:v>
                </c:pt>
                <c:pt idx="18">
                  <c:v>Transportation</c:v>
                </c:pt>
                <c:pt idx="19">
                  <c:v>Utilities</c:v>
                </c:pt>
              </c:strCache>
            </c:strRef>
          </c:cat>
          <c:val>
            <c:numRef>
              <c:f>Chart!$B$4:$B$23</c:f>
              <c:numCache>
                <c:formatCode>General</c:formatCode>
                <c:ptCount val="20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5</c:v>
                </c:pt>
                <c:pt idx="17">
                  <c:v>7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9-4DFF-9275-A6694C6A14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311467</xdr:colOff>
      <xdr:row>1</xdr:row>
      <xdr:rowOff>31432</xdr:rowOff>
    </xdr:from>
    <xdr:to>
      <xdr:col>12</xdr:col>
      <xdr:colOff>74295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77A17-FD61-8CF7-F1CD-EDF065E92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o Spreafico" refreshedDate="46077.222586342592" createdVersion="8" refreshedVersion="8" minRefreshableVersion="3" recordCount="75" xr:uid="{76F49A23-68A1-4391-BB4F-27214E28A484}">
  <cacheSource type="worksheet">
    <worksheetSource ref="A1:P76" sheet="HAHR"/>
  </cacheSource>
  <cacheFields count="16">
    <cacheField name="Ticker" numFmtId="0">
      <sharedItems/>
    </cacheField>
    <cacheField name="Last" numFmtId="0">
      <sharedItems containsSemiMixedTypes="0" containsString="0" containsNumber="1" minValue="5.07" maxValue="264.39999999999998"/>
    </cacheField>
    <cacheField name="Opt. Volume" numFmtId="0">
      <sharedItems containsSemiMixedTypes="0" containsString="0" containsNumber="1" containsInteger="1" minValue="10536" maxValue="12400000"/>
    </cacheField>
    <cacheField name="52 Week IV Low" numFmtId="2">
      <sharedItems containsSemiMixedTypes="0" containsString="0" containsNumber="1" minValue="2.7796262404373602" maxValue="86.957376773160206"/>
    </cacheField>
    <cacheField name="52 Week IV High" numFmtId="2">
      <sharedItems containsSemiMixedTypes="0" containsString="0" containsNumber="1" minValue="61.553405396812899" maxValue="649.41182307140298"/>
    </cacheField>
    <cacheField name="Opt. Implied Volatility %" numFmtId="10">
      <sharedItems containsSemiMixedTypes="0" containsString="0" containsNumber="1" minValue="0.05" maxValue="2.2400000000000002"/>
    </cacheField>
    <cacheField name="Type" numFmtId="0">
      <sharedItems/>
    </cacheField>
    <cacheField name="Name" numFmtId="0">
      <sharedItems containsBlank="1"/>
    </cacheField>
    <cacheField name="Sector" numFmtId="0">
      <sharedItems/>
    </cacheField>
    <cacheField name="Mkt cap." numFmtId="0">
      <sharedItems containsString="0" containsBlank="1" containsNumber="1" minValue="0.52300000000000002" maxValue="4617"/>
    </cacheField>
    <cacheField name="Good price" numFmtId="0">
      <sharedItems/>
    </cacheField>
    <cacheField name="Good OI" numFmtId="0">
      <sharedItems/>
    </cacheField>
    <cacheField name="Good sector" numFmtId="0">
      <sharedItems count="20">
        <s v="Biotech"/>
        <s v="Bitcoin m."/>
        <s v="International"/>
        <s v="Aerospace"/>
        <s v="Commodities"/>
        <s v="Real Estate"/>
        <s v="Energy"/>
        <s v="Consumer"/>
        <s v="Materials"/>
        <s v="Precious"/>
        <s v="Technology"/>
        <s v="Retail"/>
        <s v="Internet"/>
        <s v="Semiconductors"/>
        <s v="Software"/>
        <s v="Utilities"/>
        <s v="Automotive"/>
        <s v="Financial"/>
        <s v="Entertainment"/>
        <s v="Transportation"/>
      </sharedItems>
    </cacheField>
    <cacheField name="Alternative to" numFmtId="0">
      <sharedItems containsBlank="1"/>
    </cacheField>
    <cacheField name="In chart" numFmtId="0">
      <sharedItems containsNonDate="0" containsString="0" containsBlank="1"/>
    </cacheField>
    <cacheField name="In portfol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OCUL"/>
    <n v="7.64"/>
    <n v="10536"/>
    <n v="39.364017141898998"/>
    <n v="353.90944480902601"/>
    <n v="1.1040000000000001"/>
    <s v="STOCK"/>
    <s v="Ocular Therapeutix Inc."/>
    <s v="Pharmaceuticals"/>
    <n v="1.663"/>
    <s v="yes"/>
    <s v="no"/>
    <x v="0"/>
    <s v="LQDA, GRAL, IBRX, MRNA"/>
    <m/>
    <m/>
  </r>
  <r>
    <s v="BTDR"/>
    <n v="7.87"/>
    <n v="11473"/>
    <n v="57.5752552201048"/>
    <n v="273.60665918138"/>
    <n v="1.099"/>
    <s v="STOCK"/>
    <s v="Bitdeer Technologies Group"/>
    <s v="Bitcoin mining"/>
    <n v="1.48"/>
    <s v="yes"/>
    <s v="no"/>
    <x v="1"/>
    <s v="HUT, WULF, CIFR, RIOT, MARA, IBIT, COIN, ETHA, MSTR"/>
    <m/>
    <m/>
  </r>
  <r>
    <s v="FEZ"/>
    <n v="69.44"/>
    <n v="11691"/>
    <n v="7.8451816482889001"/>
    <n v="130.69323192772899"/>
    <n v="0.187"/>
    <s v="ETF"/>
    <s v="SPDR EURO STOXX 50 ETF"/>
    <s v="Large-cap Eurozone equities"/>
    <n v="5.37"/>
    <s v="yes"/>
    <s v="no"/>
    <x v="2"/>
    <s v="KWEB"/>
    <m/>
    <m/>
  </r>
  <r>
    <s v="PL"/>
    <n v="23.81"/>
    <n v="11972"/>
    <n v="61.956614313948599"/>
    <n v="168.65553302711101"/>
    <n v="1.272"/>
    <s v="STOCK"/>
    <s v="Planet Labs Public Benefit Corp."/>
    <s v="Saetllite Design &amp; Manufacture"/>
    <n v="8.1210000000000004"/>
    <s v="yes"/>
    <s v="no"/>
    <x v="3"/>
    <s v="JETS, LUNR, ASTS"/>
    <m/>
    <m/>
  </r>
  <r>
    <s v="JETS"/>
    <n v="29.4"/>
    <n v="11995"/>
    <n v="22.8053179364165"/>
    <n v="97.344072068478596"/>
    <n v="0.34699999999999998"/>
    <s v="ETF"/>
    <s v="U.S. Global Jets ETF"/>
    <s v="Airlines &amp; Aviation ETF"/>
    <n v="1.57"/>
    <s v="yes"/>
    <s v="no"/>
    <x v="3"/>
    <s v="PL, LUNR,ASTS"/>
    <m/>
    <m/>
  </r>
  <r>
    <s v="PAGP"/>
    <n v="22.27"/>
    <n v="12229"/>
    <n v="10.178734332324"/>
    <n v="88.405137000781494"/>
    <n v="0.187"/>
    <s v="STOCK"/>
    <s v="Plains GP Holdings LP"/>
    <s v="Oil&amp;Gas Transportation services"/>
    <n v="4.407"/>
    <s v="yes"/>
    <s v="no"/>
    <x v="4"/>
    <s v="SEI, ET, XOP, SLB, USO"/>
    <m/>
    <m/>
  </r>
  <r>
    <s v="NLY"/>
    <n v="23.09"/>
    <n v="12455"/>
    <n v="11.1327924972251"/>
    <n v="142.76421239639899"/>
    <n v="0.20300000000000001"/>
    <s v="STOCK"/>
    <s v="Annaly Capital Management Inc."/>
    <s v="Mortgage REITs"/>
    <n v="16.588000000000001"/>
    <s v="yes"/>
    <s v="no"/>
    <x v="5"/>
    <m/>
    <m/>
    <m/>
  </r>
  <r>
    <s v="ENVX"/>
    <n v="5.96"/>
    <n v="12642"/>
    <n v="34.7048494578072"/>
    <n v="201.055405611049"/>
    <n v="1.1539999999999999"/>
    <s v="STOCK"/>
    <s v="Enovix Corporation"/>
    <s v="Battery Manufacturing"/>
    <n v="1.286"/>
    <s v="yes"/>
    <s v="no"/>
    <x v="6"/>
    <s v="TE, EOSE, BE, SMR"/>
    <m/>
    <m/>
  </r>
  <r>
    <s v="TE"/>
    <n v="6.25"/>
    <n v="13165"/>
    <n v="67.404748459303406"/>
    <n v="271.25248019858799"/>
    <n v="1.222"/>
    <s v="STOCK"/>
    <s v="T1 Energy"/>
    <s v="Electrical Components &amp; Equipment"/>
    <n v="1.6910000000000001"/>
    <s v="yes"/>
    <s v="no"/>
    <x v="6"/>
    <s v="ENVX, EOSE, BE, SMR"/>
    <m/>
    <m/>
  </r>
  <r>
    <s v="UL"/>
    <n v="73.23"/>
    <n v="13478"/>
    <n v="14.0918003792228"/>
    <n v="61.553405396812899"/>
    <n v="0.18"/>
    <s v="STOCK"/>
    <s v="Unilever PLC"/>
    <s v="Personal Products"/>
    <n v="159.16499999999999"/>
    <s v="yes"/>
    <s v="no"/>
    <x v="7"/>
    <m/>
    <m/>
    <m/>
  </r>
  <r>
    <s v="CRML"/>
    <n v="9.0500000000000007"/>
    <n v="14269"/>
    <n v="73.686290634257006"/>
    <n v="649.41182307140298"/>
    <n v="1.1879999999999999"/>
    <s v="STOCK"/>
    <s v="Critical Metals Corp."/>
    <s v="Basic Materials (Metals&amp;Mining)"/>
    <n v="0.63800000000000001"/>
    <s v="yes"/>
    <s v="no"/>
    <x v="8"/>
    <s v="COPX, TMC"/>
    <m/>
    <m/>
  </r>
  <r>
    <s v="COPX"/>
    <n v="89.26"/>
    <n v="15160"/>
    <n v="22.202086479479298"/>
    <n v="77.788262175943899"/>
    <n v="0.498"/>
    <s v="ETF"/>
    <s v="Global X Copper Miners ETF"/>
    <s v="Copper miners"/>
    <n v="7.26"/>
    <s v="yes"/>
    <s v="no"/>
    <x v="8"/>
    <s v="CRML, TMC,UAMY"/>
    <m/>
    <m/>
  </r>
  <r>
    <s v="SIL"/>
    <n v="107.79"/>
    <n v="15678"/>
    <n v="30.4028583331764"/>
    <n v="81.647357441975004"/>
    <n v="0.6"/>
    <s v="ETF"/>
    <s v="Global X Silver Miners ETF"/>
    <s v="Silver miners"/>
    <n v="6.28"/>
    <s v="no"/>
    <s v="no"/>
    <x v="9"/>
    <s v="SILJ"/>
    <m/>
    <m/>
  </r>
  <r>
    <s v="TMC"/>
    <n v="5.89"/>
    <n v="15768"/>
    <n v="64.812441914012197"/>
    <n v="259.29580001372301"/>
    <n v="1.1639999999999999"/>
    <s v="STOCK"/>
    <s v="TMC the metals company Inc."/>
    <s v="Specilaty mining &amp; Metals"/>
    <n v="2.4350000000000001"/>
    <s v="yes"/>
    <s v="no"/>
    <x v="8"/>
    <s v="CRML, COPX, UAMY"/>
    <m/>
    <m/>
  </r>
  <r>
    <s v="LQDA"/>
    <n v="33.700000000000003"/>
    <n v="19146"/>
    <n v="39.359253644454597"/>
    <n v="249.06786431169101"/>
    <n v="1.5669999999999999"/>
    <s v="STOCK"/>
    <s v="Liquidia Corporation"/>
    <s v="Pharmaceuticals"/>
    <n v="2.9319999999999999"/>
    <s v="yes"/>
    <s v="no"/>
    <x v="0"/>
    <s v="OCUL, GRAL, IBRX, MRNA"/>
    <m/>
    <m/>
  </r>
  <r>
    <s v="XLK"/>
    <n v="140.88"/>
    <n v="19756"/>
    <n v="16.8317413414286"/>
    <n v="64.707668625095806"/>
    <n v="0.26500000000000001"/>
    <s v="ETF"/>
    <s v="Technology Select Sector SPDR Fund"/>
    <s v="U.S. Technology"/>
    <n v="91.64"/>
    <s v="no"/>
    <s v="no"/>
    <x v="10"/>
    <s v="AAOI, ARKK, IGV, AAPL, NOK, SMCI"/>
    <m/>
    <m/>
  </r>
  <r>
    <s v="XRT"/>
    <n v="88.82"/>
    <n v="20612"/>
    <n v="17.0746205739419"/>
    <n v="89.838603779212093"/>
    <n v="0.248"/>
    <s v="ETF"/>
    <s v="SPDR S&amp;P Retail ETF"/>
    <s v="U.S. Retail industry"/>
    <n v="0.52300000000000002"/>
    <s v="yes"/>
    <s v="no"/>
    <x v="11"/>
    <m/>
    <m/>
    <m/>
  </r>
  <r>
    <s v="STUB"/>
    <n v="9.42"/>
    <n v="22564"/>
    <n v="70.522500411085304"/>
    <n v="164.482129721761"/>
    <n v="1.3009999999999999"/>
    <s v="STOCK"/>
    <s v="StubHub Holdings Inc."/>
    <s v="Online services"/>
    <n v="3.2480000000000002"/>
    <s v="yes"/>
    <s v="no"/>
    <x v="12"/>
    <s v="PANW, BABA, SNAP"/>
    <m/>
    <m/>
  </r>
  <r>
    <s v="AXTI"/>
    <n v="29.9"/>
    <n v="22728"/>
    <n v="63.307537458203399"/>
    <n v="605.82041040606896"/>
    <n v="1.4650000000000001"/>
    <s v="STOCK"/>
    <s v="AXT, Inc."/>
    <s v="Semiconductors"/>
    <n v="1.2909999999999999"/>
    <s v="yes"/>
    <s v="no"/>
    <x v="13"/>
    <s v="AMD, INTC, NVDA"/>
    <m/>
    <m/>
  </r>
  <r>
    <s v="FIGR"/>
    <n v="29.13"/>
    <n v="24318"/>
    <n v="49.725307117513999"/>
    <n v="151.78410622264801"/>
    <n v="1.2110000000000001"/>
    <s v="STOCK"/>
    <s v="Figure Technology Solutions, Inc."/>
    <s v="IT Services &amp; Consulting"/>
    <n v="6.2839999999999998"/>
    <s v="yes"/>
    <s v="no"/>
    <x v="14"/>
    <s v="FROG, CRWV, PLTR, ORCL"/>
    <m/>
    <m/>
  </r>
  <r>
    <s v="GRAL"/>
    <n v="49.36"/>
    <n v="24864"/>
    <n v="43.455689948887702"/>
    <n v="467.55150847813297"/>
    <n v="2.2400000000000002"/>
    <s v="STOCK"/>
    <s v="Grail, Inc."/>
    <s v="Biotechnology &amp; Medical Research"/>
    <n v="1.9239999999999999"/>
    <s v="yes"/>
    <s v="no"/>
    <x v="0"/>
    <s v="OCUL, LQDA, IBRX, MRNA"/>
    <m/>
    <m/>
  </r>
  <r>
    <s v="AAOI"/>
    <n v="51.63"/>
    <n v="25088"/>
    <n v="84.080916221410206"/>
    <n v="196.43433407908299"/>
    <n v="1.2869999999999999"/>
    <s v="STOCK"/>
    <s v="Applied Optoelectronics, Inc."/>
    <s v="Electronic components"/>
    <n v="3.2080000000000002"/>
    <s v="yes"/>
    <s v="no"/>
    <x v="10"/>
    <s v="XLK, ARKK, IGV, AAPL, NOK,SMCI"/>
    <m/>
    <m/>
  </r>
  <r>
    <s v="SEI"/>
    <n v="49.86"/>
    <n v="26416"/>
    <n v="55.119466785929198"/>
    <n v="155.498747172013"/>
    <n v="1.1639999999999999"/>
    <s v="STOCK"/>
    <s v="Solaris Energy Infrastructure, Inc."/>
    <s v="Oil related services and equipment"/>
    <n v="3.4129999999999998"/>
    <s v="yes"/>
    <s v="no"/>
    <x v="4"/>
    <s v="PAGP, ET, XOP, SLB, USO"/>
    <m/>
    <m/>
  </r>
  <r>
    <s v="FROG"/>
    <n v="37.94"/>
    <n v="28734"/>
    <n v="22.062391224972099"/>
    <n v="165.73780065827299"/>
    <n v="1.2010000000000001"/>
    <s v="STOCK"/>
    <s v="JFrog Ltd."/>
    <s v="Software "/>
    <n v="4.5519999999999996"/>
    <s v="yes"/>
    <s v="no"/>
    <x v="14"/>
    <s v="FIGR, CRWV, PLTR, ORCL"/>
    <m/>
    <m/>
  </r>
  <r>
    <s v="UAMY"/>
    <n v="7.38"/>
    <n v="29349"/>
    <n v="86.957376773160206"/>
    <n v="219.79684372261801"/>
    <n v="1.216"/>
    <s v="STOCK"/>
    <s v="United States Antimony Corporation"/>
    <s v="Specialty mining &amp; metals"/>
    <n v="1.0329999999999999"/>
    <s v="yes"/>
    <s v="no"/>
    <x v="8"/>
    <s v="CRML, TMC, COPX"/>
    <m/>
    <m/>
  </r>
  <r>
    <s v="LUNR"/>
    <n v="17.510000000000002"/>
    <n v="30599"/>
    <n v="43.138975027557699"/>
    <n v="321.29369797218999"/>
    <n v="1.2010000000000001"/>
    <s v="STOCK"/>
    <s v="Intuitive Machines, Inc."/>
    <s v="Aerospace &amp; Defense — Lunar Landing Systems"/>
    <n v="3.5579999999999998"/>
    <s v="yes"/>
    <s v="no"/>
    <x v="3"/>
    <s v="JETS, PL, ASTS"/>
    <m/>
    <m/>
  </r>
  <r>
    <s v="ET"/>
    <n v="18.95"/>
    <n v="31408"/>
    <n v="10.842288639269199"/>
    <n v="71.770235142047596"/>
    <n v="0.21099999999999999"/>
    <s v="STOCK"/>
    <s v="Energy Transfer LP"/>
    <s v="Natural Gas Pipeline Transportation"/>
    <n v="65.188000000000002"/>
    <s v="yes"/>
    <s v="no"/>
    <x v="4"/>
    <s v="PAGP, SEI, XOP, SLB, USO"/>
    <m/>
    <m/>
  </r>
  <r>
    <s v="KVUE"/>
    <n v="18.62"/>
    <n v="34346"/>
    <n v="17.568318201375899"/>
    <n v="97.782207386491507"/>
    <n v="0.223"/>
    <s v="STOCK"/>
    <s v="Kenvue Inc."/>
    <s v="Personal Products"/>
    <n v="35.676000000000002"/>
    <s v="yes"/>
    <s v="no"/>
    <x v="7"/>
    <m/>
    <m/>
    <m/>
  </r>
  <r>
    <s v="HUT"/>
    <n v="53.79"/>
    <n v="36473"/>
    <n v="54.746417815368602"/>
    <n v="176.94043486903701"/>
    <n v="1.1200000000000001"/>
    <s v="STOCK"/>
    <s v="Hut 8 Corp."/>
    <s v="Bitcoin mining"/>
    <n v="5.923"/>
    <s v="yes"/>
    <s v="no"/>
    <x v="1"/>
    <s v="BDTR, WULF, CIFR, RIOT, MARA, IBIT, COIN, ETHA, MSTR"/>
    <m/>
    <m/>
  </r>
  <r>
    <s v="FRMI"/>
    <n v="9.19"/>
    <n v="37706"/>
    <n v="64.202862084006696"/>
    <n v="426.34483687478797"/>
    <n v="1.6759999999999999"/>
    <s v="STOCK"/>
    <s v="Fermi Inc."/>
    <s v="Multiline Utilities"/>
    <n v="5.6429999999999998"/>
    <s v="yes"/>
    <s v="no"/>
    <x v="15"/>
    <m/>
    <m/>
    <m/>
  </r>
  <r>
    <s v="XOP"/>
    <n v="152.01"/>
    <n v="39207"/>
    <n v="21.4575719355534"/>
    <n v="77.888274924273304"/>
    <n v="0.34699999999999998"/>
    <s v="ETF"/>
    <s v="SPDR S&amp;P Oil &amp; Gas Exploration &amp; Production ETF"/>
    <s v="Energy — Upstream Oil &amp; Gas (E&amp;P)"/>
    <n v="2.27"/>
    <s v="yes"/>
    <s v="no"/>
    <x v="4"/>
    <s v="PAGP, SEI, ET, SLB, USO"/>
    <m/>
    <m/>
  </r>
  <r>
    <s v="LCID"/>
    <n v="9.58"/>
    <n v="40923"/>
    <n v="19.104970436241398"/>
    <n v="177.51509421188101"/>
    <n v="1.111"/>
    <s v="STOCK"/>
    <s v="Lucid Group, Inc."/>
    <s v="Electric Vehicles"/>
    <n v="3.1059999999999999"/>
    <s v="yes"/>
    <s v="no"/>
    <x v="16"/>
    <s v="NIO"/>
    <m/>
    <m/>
  </r>
  <r>
    <s v="LQD"/>
    <n v="111.56"/>
    <n v="62884"/>
    <n v="4.3083413457350996"/>
    <n v="78.240685029432399"/>
    <n v="0.05"/>
    <s v="ETF"/>
    <s v="iShares iBoxx $ Investment Grade Corporate Bond ETF"/>
    <s v="Fixed Income — U.S. Investment‑Grade Corporate Bonds"/>
    <n v="28.51"/>
    <s v="no"/>
    <s v="yes"/>
    <x v="17"/>
    <s v="BKLN, BAC, SOFI, HOOD, OWL"/>
    <m/>
    <m/>
  </r>
  <r>
    <s v="BKLN"/>
    <n v="20.54"/>
    <n v="64765"/>
    <n v="2.7796262404373602"/>
    <n v="100.331651325355"/>
    <n v="0.113"/>
    <s v="ETF"/>
    <s v="Invesco Senior Loan ETF"/>
    <s v="Fixed Income — Senior Secured Floating‑Rate Loans"/>
    <n v="7.55"/>
    <s v="yes"/>
    <s v="yes"/>
    <x v="17"/>
    <s v="LQD, BAC, SOFI, HOOD, OWL"/>
    <m/>
    <m/>
  </r>
  <r>
    <s v="EOSE"/>
    <n v="10.72"/>
    <n v="65778"/>
    <n v="37.881339383973099"/>
    <n v="164.32655170715299"/>
    <n v="1.1850000000000001"/>
    <s v="STOCK"/>
    <s v="Eos Energy Enterprises, Inc."/>
    <s v="Batteries"/>
    <n v="3.4039999999999999"/>
    <s v="yes"/>
    <s v="yes"/>
    <x v="6"/>
    <s v="ENVX, TE, BE, SMR"/>
    <m/>
    <m/>
  </r>
  <r>
    <s v="ARKK"/>
    <n v="71.599999999999994"/>
    <n v="90336"/>
    <n v="28.9566888948941"/>
    <n v="89.208385083805098"/>
    <n v="0.437"/>
    <s v="ETF"/>
    <s v="ARK Innovation ETF — ARK Invest (Cathie Wood)"/>
    <s v="Disruptive Innovation — High‑Growth, High‑Volatility Equities"/>
    <n v="6.68"/>
    <s v="yes"/>
    <s v="yes"/>
    <x v="10"/>
    <s v="AAOI, XLK, IGV, AAPL, NOKS, SMCI"/>
    <m/>
    <m/>
  </r>
  <r>
    <s v="IBRX"/>
    <n v="8.6999999999999993"/>
    <n v="94173"/>
    <n v="61.210516372827598"/>
    <n v="245.37385040029699"/>
    <n v="1.5069999999999999"/>
    <s v="STOCK"/>
    <s v="ImmunityBio, Inc."/>
    <s v="Biotechnology"/>
    <n v="8.5670000000000002"/>
    <s v="yes"/>
    <s v="yes"/>
    <x v="0"/>
    <s v="OCUL, LQDA, GRAL, MRNA"/>
    <m/>
    <m/>
  </r>
  <r>
    <s v="BE"/>
    <n v="147.94999999999999"/>
    <n v="103303"/>
    <n v="60.242169194022097"/>
    <n v="154.55262373423301"/>
    <n v="1.1879999999999999"/>
    <s v="STOCK"/>
    <s v="Bloom Energy Corporation"/>
    <s v="Electrical Equipment"/>
    <n v="41.506999999999998"/>
    <s v="no"/>
    <s v="yes"/>
    <x v="6"/>
    <s v="ENVX, TE, EOSE, SMR"/>
    <m/>
    <m/>
  </r>
  <r>
    <s v="WULF"/>
    <n v="14.95"/>
    <n v="103440"/>
    <n v="16.128500093019401"/>
    <n v="237.09370318524299"/>
    <n v="1.091"/>
    <s v="STOCK"/>
    <s v="TeraWulf Inc."/>
    <s v="Bitcoing Mining"/>
    <n v="6.2610000000000001"/>
    <s v="yes"/>
    <s v="yes"/>
    <x v="1"/>
    <s v="BTDR, HUT, CIFR, RIOT, MARA, IBIT, COIN, ETHA, MSTR"/>
    <m/>
    <m/>
  </r>
  <r>
    <s v="ASTS"/>
    <n v="80.28"/>
    <n v="106194"/>
    <n v="56.848199441331303"/>
    <n v="187.21601145922801"/>
    <n v="1.0940000000000001"/>
    <s v="STOCK"/>
    <s v="AST SpaceMobile, Inc."/>
    <s v="Satellite Communications"/>
    <n v="29.37"/>
    <s v="yes"/>
    <s v="yes"/>
    <x v="3"/>
    <s v="JETS, PL, LUNR"/>
    <m/>
    <m/>
  </r>
  <r>
    <s v="IGV"/>
    <n v="80.790000000000006"/>
    <n v="117619"/>
    <n v="16.782530361933301"/>
    <n v="69.666862726746004"/>
    <n v="0.34899999999999998"/>
    <s v="ETF"/>
    <s v="iShares Expanded Tech‑Software Sector ETF"/>
    <s v="U.S. Technology — Software &amp; Cloud"/>
    <n v="6.06"/>
    <s v="yes"/>
    <s v="yes"/>
    <x v="10"/>
    <s v="AAOI, XLK, ARKK, AAPL, NOK, SMCI"/>
    <m/>
    <m/>
  </r>
  <r>
    <s v="CIFR"/>
    <n v="14.64"/>
    <n v="156778"/>
    <n v="60.472348723541302"/>
    <n v="268.428397420723"/>
    <n v="1.089"/>
    <s v="STOCK"/>
    <s v="Cipher Mining Inc."/>
    <s v="Bitcoin Mining"/>
    <n v="5.7839999999999998"/>
    <s v="yes"/>
    <s v="yes"/>
    <x v="1"/>
    <s v="BTDR, HUT, WULF, RIOT, MARA, IBIT, COIN, ETHA, MSTR"/>
    <m/>
    <m/>
  </r>
  <r>
    <s v="KWEB"/>
    <n v="32.72"/>
    <n v="187299"/>
    <n v="13.3044247072988"/>
    <n v="75.237227447740594"/>
    <n v="0.317"/>
    <s v="ETF"/>
    <s v="KraneShares CSI China Internet ETF"/>
    <s v="China Internet &amp; E‑Commerce — Large‑Cap Tech Platforms"/>
    <n v="8.65"/>
    <s v="yes"/>
    <s v="yes"/>
    <x v="2"/>
    <s v="FEZ"/>
    <m/>
    <m/>
  </r>
  <r>
    <s v="SILJ"/>
    <n v="36.33"/>
    <n v="198130"/>
    <n v="31.398189793594099"/>
    <n v="94.235841197870499"/>
    <n v="0.70299999999999996"/>
    <s v="ETF"/>
    <s v="Amplify Junior Silver Miners ETF"/>
    <s v="tracks the Nasdaq Junior Silver Miners Index,"/>
    <n v="5.13"/>
    <s v="yes"/>
    <s v="yes"/>
    <x v="9"/>
    <s v="SIL "/>
    <m/>
    <m/>
  </r>
  <r>
    <s v="SMR"/>
    <n v="13.46"/>
    <n v="237768"/>
    <n v="72.943362444383794"/>
    <n v="144.58977622145201"/>
    <n v="1.141"/>
    <s v="STOCK"/>
    <s v="NuScale Power Corporation"/>
    <s v="Energy - Nuclear"/>
    <n v="4.0750000000000002"/>
    <s v="yes"/>
    <s v="yes"/>
    <x v="6"/>
    <s v="ENVX, TE, EOSE,BE"/>
    <m/>
    <m/>
  </r>
  <r>
    <s v="CRWV"/>
    <n v="87.9"/>
    <n v="397851"/>
    <n v="24.7642315997665"/>
    <n v="185.777772312781"/>
    <n v="1.149"/>
    <s v="STOCK"/>
    <s v="Coreweave, Inc."/>
    <s v="Cloud Computing Services"/>
    <n v="45.87"/>
    <s v="yes"/>
    <s v="yes"/>
    <x v="14"/>
    <s v="FROG, FIGR, PLTR, ORCL"/>
    <m/>
    <m/>
  </r>
  <r>
    <s v="SLB"/>
    <n v="50.86"/>
    <n v="549000"/>
    <n v="25.71"/>
    <n v="78.37"/>
    <n v="0.36199999999999999"/>
    <s v="STOCK"/>
    <s v="Schlumberger Limited"/>
    <s v="Oil related services and Equipment"/>
    <n v="76.052999999999997"/>
    <s v="yes"/>
    <s v="yes"/>
    <x v="4"/>
    <s v="PAGP, SEI, ET, XOP, USO"/>
    <m/>
    <m/>
  </r>
  <r>
    <s v="MRNA"/>
    <n v="49.92"/>
    <n v="700000"/>
    <n v="49.45"/>
    <n v="111.97"/>
    <n v="0.747"/>
    <s v="STOCK"/>
    <s v="Moderna, Inc"/>
    <s v="Biotechnology"/>
    <n v="19.513999999999999"/>
    <s v="yes"/>
    <s v="yes"/>
    <x v="0"/>
    <s v="OCUL, LQDA, GRAL, IBRX"/>
    <m/>
    <m/>
  </r>
  <r>
    <s v="RIOT"/>
    <n v="15.61"/>
    <n v="712000"/>
    <n v="64.73"/>
    <n v="119.62"/>
    <n v="0.92100000000000004"/>
    <s v="STOCK"/>
    <s v="Riot Platforms, Inc."/>
    <s v="Bitcoin Mining"/>
    <n v="5.8040000000000003"/>
    <s v="yes"/>
    <s v="yes"/>
    <x v="1"/>
    <s v="BTDR, HUT, WULF, CIFR, MARA, IBIT, COIN, ETHA, MSTR"/>
    <m/>
    <m/>
  </r>
  <r>
    <s v="MARA"/>
    <n v="8"/>
    <n v="1740000"/>
    <n v="56.68"/>
    <n v="130.19"/>
    <n v="0.97499999999999998"/>
    <s v="STOCK"/>
    <s v="MARA Holdings, Inc."/>
    <s v="Bitcoin mining"/>
    <n v="3.0219999999999998"/>
    <s v="yes"/>
    <s v="yes"/>
    <x v="1"/>
    <s v="BTDR, HUT, WULF, CIFR, RIOT, IBIT, COIN, ETHA, MSTR"/>
    <m/>
    <m/>
  </r>
  <r>
    <s v="AMD"/>
    <n v="199.9"/>
    <n v="2450000"/>
    <n v="36"/>
    <n v="91.12"/>
    <n v="0.55100000000000005"/>
    <s v="STOCK"/>
    <s v="Advanced Micro Devices, Inc."/>
    <s v="Semiconductors"/>
    <n v="325.91899999999998"/>
    <s v="no"/>
    <s v="yes"/>
    <x v="13"/>
    <s v="AXTI, INTC, NVDA"/>
    <m/>
    <m/>
  </r>
  <r>
    <s v="PLTR"/>
    <n v="134.55000000000001"/>
    <n v="3090000"/>
    <n v="33.049999999999997"/>
    <n v="116.15"/>
    <n v="0.51800000000000002"/>
    <s v="STOCK"/>
    <s v="Palantir Technologies Inc."/>
    <s v="Software"/>
    <n v="321.66500000000002"/>
    <s v="no"/>
    <s v="yes"/>
    <x v="14"/>
    <s v="FROG, FIGR, CRWV, ORCL"/>
    <m/>
    <m/>
  </r>
  <r>
    <s v="AAPL"/>
    <n v="264.39999999999998"/>
    <n v="3750000"/>
    <n v="16.739999999999998"/>
    <n v="66.98"/>
    <n v="0.247"/>
    <s v="STOCK"/>
    <s v="Apple Inc."/>
    <s v="Computers"/>
    <n v="3887.3939999999998"/>
    <s v="no"/>
    <s v="yes"/>
    <x v="10"/>
    <s v="AAOI, XLK, ARKK, IGV, NOK, SMCI"/>
    <m/>
    <m/>
  </r>
  <r>
    <s v="INTC"/>
    <n v="44.01"/>
    <n v="4550000"/>
    <n v="36.86"/>
    <n v="95.14"/>
    <n v="0.56999999999999995"/>
    <s v="STOCK"/>
    <s v="Intel Corp."/>
    <s v="Semiconductors"/>
    <n v="219.83"/>
    <s v="yes"/>
    <s v="yes"/>
    <x v="13"/>
    <s v="AXTI, AMD, NVDA"/>
    <m/>
    <m/>
  </r>
  <r>
    <s v="NVDA"/>
    <n v="190"/>
    <n v="12400000"/>
    <n v="30.48"/>
    <n v="91.3"/>
    <n v="0.48499999999999999"/>
    <s v="STOCK"/>
    <s v="NVIDIA Corporation"/>
    <s v="Semiconductors"/>
    <n v="4617"/>
    <s v="no"/>
    <s v="yes"/>
    <x v="13"/>
    <s v="AXTI, AMD, INTC"/>
    <m/>
    <m/>
  </r>
  <r>
    <s v="BAC"/>
    <n v="53"/>
    <n v="1750000"/>
    <n v="17.940000000000001"/>
    <n v="67.67"/>
    <n v="0.26500000000000001"/>
    <s v="STOCK"/>
    <m/>
    <s v="Banks"/>
    <n v="382.26100000000002"/>
    <s v="yes"/>
    <s v="yes"/>
    <x v="17"/>
    <s v="LQD, BKLN, SOFI, HOOD, OWL"/>
    <m/>
    <m/>
  </r>
  <r>
    <s v="WBD"/>
    <n v="28.76"/>
    <n v="1430000"/>
    <n v="15.91"/>
    <n v="113.88"/>
    <n v="0.35199999999999998"/>
    <s v="STOCK"/>
    <s v="Warner Bros"/>
    <s v="Media"/>
    <n v="71.346000000000004"/>
    <s v="yes"/>
    <s v="yes"/>
    <x v="18"/>
    <s v="NFLX, GME"/>
    <m/>
    <m/>
  </r>
  <r>
    <s v="PANW"/>
    <n v="149"/>
    <n v="439000"/>
    <n v="10.63"/>
    <n v="95.64"/>
    <n v="0.39"/>
    <s v="STOCK"/>
    <s v="Palo Alto Networks, Inc"/>
    <s v="Internet"/>
    <n v="121.584"/>
    <s v="no"/>
    <s v="yes"/>
    <x v="12"/>
    <s v="STUB, BABA, SNAP"/>
    <m/>
    <m/>
  </r>
  <r>
    <s v="NFLX"/>
    <n v="78.58"/>
    <n v="3590000"/>
    <n v="23.99"/>
    <n v="72.900000000000006"/>
    <n v="0.39400000000000002"/>
    <s v="STOCK"/>
    <m/>
    <s v="Internet"/>
    <n v="331.77800000000002"/>
    <s v="yes"/>
    <s v="yes"/>
    <x v="18"/>
    <s v="WBD, GME"/>
    <m/>
    <m/>
  </r>
  <r>
    <s v="NOK"/>
    <n v="7.72"/>
    <n v="601000"/>
    <n v="13.83"/>
    <n v="146.36000000000001"/>
    <n v="0.41399999999999998"/>
    <s v="STOCK"/>
    <s v="Nokia"/>
    <s v="Telecommunications"/>
    <n v="43.639000000000003"/>
    <s v="yes"/>
    <s v="yes"/>
    <x v="10"/>
    <s v="AAOI, XLK, ARKK, IGV, AAPL, SMCI"/>
    <m/>
    <m/>
  </r>
  <r>
    <s v="GME"/>
    <n v="23.41"/>
    <n v="950000"/>
    <n v="33.07"/>
    <n v="130.38999999999999"/>
    <n v="0.46600000000000003"/>
    <s v="STOCK"/>
    <s v="GameStop Corp."/>
    <s v="Retail"/>
    <n v="10.488"/>
    <s v="yes"/>
    <s v="yes"/>
    <x v="18"/>
    <s v="WBD, NFLX"/>
    <m/>
    <m/>
  </r>
  <r>
    <s v="BABA"/>
    <n v="154.54"/>
    <n v="1440000"/>
    <n v="29.89"/>
    <n v="82.34"/>
    <n v="0.46200000000000002"/>
    <s v="STOCK"/>
    <s v="AliBaba"/>
    <s v="Internet"/>
    <n v="369.11799999999999"/>
    <s v="no"/>
    <s v="yes"/>
    <x v="12"/>
    <s v="STUB, PANW, SNAP"/>
    <m/>
    <m/>
  </r>
  <r>
    <s v="IBIT"/>
    <n v="38.479999999999997"/>
    <n v="5720000"/>
    <n v="28.36"/>
    <n v="102.07"/>
    <n v="0.48599999999999999"/>
    <s v="ETF"/>
    <s v="iShares Bitcoin Trust ETF"/>
    <s v="Bitcoin"/>
    <m/>
    <s v="yes"/>
    <s v="yes"/>
    <x v="1"/>
    <s v="BTDR, HUT, WULF, CIFR, RIOT, MARA, COIN, ETHA, MSTR"/>
    <m/>
    <m/>
  </r>
  <r>
    <s v="USO"/>
    <n v="80.900000000000006"/>
    <n v="507000"/>
    <n v="21.33"/>
    <n v="69.88"/>
    <n v="0.51200000000000001"/>
    <s v="ETF"/>
    <s v="United States Oil Fund"/>
    <s v="Commodities"/>
    <n v="1.04"/>
    <s v="yes"/>
    <s v="yes"/>
    <x v="4"/>
    <s v="PAGP, SEI, ET, XOP, SLB"/>
    <m/>
    <m/>
  </r>
  <r>
    <s v="AAL"/>
    <n v="13.56"/>
    <n v="1270000"/>
    <n v="34.64"/>
    <n v="93.86"/>
    <n v="0.52800000000000002"/>
    <s v="STOCK"/>
    <s v="American Airlines"/>
    <s v="Airlines"/>
    <n v="8.9540000000000006"/>
    <s v="yes"/>
    <s v="yes"/>
    <x v="19"/>
    <m/>
    <m/>
    <m/>
  </r>
  <r>
    <s v="SOFI"/>
    <n v="18.91"/>
    <n v="3570000"/>
    <n v="26.56"/>
    <n v="136.93"/>
    <n v="0.58499999999999996"/>
    <s v="STOCK"/>
    <s v="SoFi Technologies, Inc."/>
    <s v="Diversified Financial Services"/>
    <n v="24.114999999999998"/>
    <s v="yes"/>
    <s v="yes"/>
    <x v="17"/>
    <s v="LQD, BKLN, BAC, HOOD, OWL"/>
    <m/>
    <m/>
  </r>
  <r>
    <s v="SNAP"/>
    <n v="5.13"/>
    <n v="1550000"/>
    <n v="37.32"/>
    <n v="130.81"/>
    <n v="0.58699999999999997"/>
    <s v="STOCK"/>
    <s v="Snap Inc. "/>
    <s v="Internet"/>
    <n v="8.6639999999999997"/>
    <s v="yes"/>
    <s v="yes"/>
    <x v="12"/>
    <s v="STUB, PANW, BABA"/>
    <m/>
    <m/>
  </r>
  <r>
    <s v="NIO"/>
    <n v="5.07"/>
    <n v="2420000"/>
    <n v="40.57"/>
    <n v="111.98"/>
    <n v="0.63500000000000001"/>
    <s v="STOCK"/>
    <s v="NIO Inc."/>
    <s v="Automotive"/>
    <n v="12.401999999999999"/>
    <s v="yes"/>
    <s v="yes"/>
    <x v="16"/>
    <s v="LCID"/>
    <m/>
    <m/>
  </r>
  <r>
    <s v="HOOD"/>
    <n v="75.95"/>
    <n v="1470000"/>
    <n v="37.94"/>
    <n v="148.09"/>
    <n v="0.64100000000000001"/>
    <s v="STOCK"/>
    <s v="Robinhood Markets, Inc."/>
    <s v="Internet"/>
    <n v="68.378"/>
    <s v="yes"/>
    <s v="yes"/>
    <x v="17"/>
    <s v="LQD, BKLN, BAC, SOFI, OWL"/>
    <m/>
    <m/>
  </r>
  <r>
    <s v="OWL"/>
    <n v="10.85"/>
    <n v="759000"/>
    <n v="28.96"/>
    <n v="97.266000000000005"/>
    <n v="0.64200000000000002"/>
    <s v="STOCK"/>
    <s v="Blue Owl Capital Inc."/>
    <s v="Diversified Financial Services"/>
    <n v="16.922000000000001"/>
    <s v="yes"/>
    <s v="yes"/>
    <x v="17"/>
    <s v="LQD, BKLN, BAC, SOFI,HOOD"/>
    <m/>
    <m/>
  </r>
  <r>
    <s v="COIN"/>
    <n v="171.09"/>
    <n v="822000"/>
    <n v="28.33"/>
    <n v="111.38"/>
    <n v="0.64900000000000002"/>
    <s v="STOCK"/>
    <s v="Coinbase Global, Inc."/>
    <s v="Diversified Financial Services"/>
    <n v="45.180999999999997"/>
    <s v="no"/>
    <s v="yes"/>
    <x v="1"/>
    <s v="BTDR, HUT, WULF, CIFR, RIOT, MARA, IBIT, ETHA, MSTR"/>
    <m/>
    <m/>
  </r>
  <r>
    <s v="ETHA"/>
    <n v="14.81"/>
    <n v="1160000"/>
    <n v="33.69"/>
    <n v="486.62"/>
    <n v="0.66500000000000004"/>
    <s v="ETF"/>
    <s v="iShares Ethereum Trust ETF"/>
    <s v="Bitcoin"/>
    <n v="9.14"/>
    <s v="yes"/>
    <s v="yes"/>
    <x v="1"/>
    <s v="BTDR, HUT, WULF, CIFR, RIOT, MARA, IBIT, COIN, MSTR"/>
    <m/>
    <m/>
  </r>
  <r>
    <s v="SMCI"/>
    <n v="32.28"/>
    <n v="1550000"/>
    <n v="40.6"/>
    <n v="166.51"/>
    <n v="0.68600000000000005"/>
    <s v="STOCK"/>
    <s v="Super Micro Computer, Inc."/>
    <s v="Computers"/>
    <n v="19.335000000000001"/>
    <s v="yes"/>
    <s v="yes"/>
    <x v="10"/>
    <s v="AAOI, XLK, ARKK, IGV, AAPL, NOK"/>
    <m/>
    <m/>
  </r>
  <r>
    <s v="ORCL"/>
    <n v="147.62"/>
    <n v="1920000"/>
    <n v="43.18"/>
    <n v="124.23"/>
    <n v="0.77"/>
    <s v="STOCK"/>
    <s v="Oracle"/>
    <s v="Software"/>
    <n v="424.13099999999997"/>
    <s v="no"/>
    <s v="yes"/>
    <x v="14"/>
    <s v="FROG, FIGR, CRWV, PLTR"/>
    <m/>
    <m/>
  </r>
  <r>
    <s v="MSTR"/>
    <n v="131"/>
    <n v="1940000"/>
    <n v="43.18"/>
    <n v="124.23"/>
    <n v="0.77"/>
    <s v="STOCK"/>
    <s v="Strategy Inc."/>
    <s v="Software"/>
    <n v="41.71"/>
    <s v="no"/>
    <s v="yes"/>
    <x v="1"/>
    <s v="BTDR, HUT, WULF, CIFR, RIOT, MARA, IBIT, COIN, ETH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EF845-E866-46CE-AED0-0C73184C76CB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B23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0">
        <item x="3"/>
        <item x="16"/>
        <item x="0"/>
        <item x="1"/>
        <item x="4"/>
        <item x="7"/>
        <item x="6"/>
        <item x="18"/>
        <item x="17"/>
        <item x="2"/>
        <item x="12"/>
        <item x="8"/>
        <item x="9"/>
        <item x="5"/>
        <item x="11"/>
        <item x="13"/>
        <item x="14"/>
        <item x="10"/>
        <item x="19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name="Count of Good sector" fld="12" subtotal="count" baseField="0" baseItem="0"/>
  </dataFields>
  <chartFormats count="2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6AFF-B883-4CE1-9BAF-04DB751D2AFD}">
  <dimension ref="A1:K133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4.4" x14ac:dyDescent="0.3"/>
  <cols>
    <col min="1" max="1" width="5.69921875" style="1" bestFit="1" customWidth="1"/>
    <col min="2" max="2" width="8.796875" style="4"/>
    <col min="3" max="3" width="10.3984375" style="1" bestFit="1" customWidth="1"/>
    <col min="4" max="4" width="12.3984375" style="4" bestFit="1" customWidth="1"/>
    <col min="5" max="5" width="13" style="4" bestFit="1" customWidth="1"/>
    <col min="6" max="6" width="19.5" style="5" bestFit="1" customWidth="1"/>
    <col min="7" max="7" width="8.796875" style="1"/>
    <col min="8" max="8" width="32" style="1" bestFit="1" customWidth="1"/>
    <col min="9" max="9" width="40.5" style="1" bestFit="1" customWidth="1"/>
    <col min="10" max="10" width="8.796875" style="6"/>
    <col min="11" max="16384" width="8.796875" style="1"/>
  </cols>
  <sheetData>
    <row r="1" spans="1:10" x14ac:dyDescent="0.3">
      <c r="A1" s="1" t="s">
        <v>217</v>
      </c>
      <c r="B1" s="4" t="s">
        <v>0</v>
      </c>
      <c r="C1" s="1" t="s">
        <v>1</v>
      </c>
      <c r="D1" s="4" t="s">
        <v>2</v>
      </c>
      <c r="E1" s="4" t="s">
        <v>3</v>
      </c>
      <c r="F1" s="5" t="s">
        <v>4</v>
      </c>
      <c r="G1" s="1" t="s">
        <v>5</v>
      </c>
      <c r="H1" s="1" t="s">
        <v>7</v>
      </c>
      <c r="I1" s="1" t="s">
        <v>9</v>
      </c>
      <c r="J1" s="6" t="s">
        <v>11</v>
      </c>
    </row>
    <row r="2" spans="1:10" x14ac:dyDescent="0.3">
      <c r="A2" s="1" t="s">
        <v>486</v>
      </c>
      <c r="B2" s="4">
        <v>19.09</v>
      </c>
      <c r="D2" s="4">
        <v>13.38</v>
      </c>
      <c r="E2" s="4">
        <v>60.13</v>
      </c>
      <c r="G2" s="1" t="s">
        <v>6</v>
      </c>
      <c r="H2" s="1" t="s">
        <v>8</v>
      </c>
      <c r="I2" s="1" t="s">
        <v>10</v>
      </c>
    </row>
    <row r="3" spans="1:10" x14ac:dyDescent="0.3">
      <c r="A3" s="1" t="s">
        <v>227</v>
      </c>
      <c r="B3" s="1">
        <v>97.02</v>
      </c>
      <c r="C3" s="7">
        <v>10531</v>
      </c>
      <c r="D3" s="2">
        <v>13.0742451777797</v>
      </c>
      <c r="E3" s="2">
        <v>46.483733800753299</v>
      </c>
      <c r="F3" s="3">
        <v>0.2</v>
      </c>
      <c r="G3" s="1" t="s">
        <v>12</v>
      </c>
      <c r="H3" s="1" t="s">
        <v>13</v>
      </c>
      <c r="I3" s="1" t="s">
        <v>165</v>
      </c>
      <c r="J3" s="6">
        <v>124.381</v>
      </c>
    </row>
    <row r="4" spans="1:10" x14ac:dyDescent="0.3">
      <c r="A4" s="27" t="s">
        <v>228</v>
      </c>
      <c r="B4" s="27">
        <v>7.64</v>
      </c>
      <c r="C4" s="27">
        <v>10536</v>
      </c>
      <c r="D4" s="28">
        <v>39.364017141898998</v>
      </c>
      <c r="E4" s="28">
        <v>353.90944480902601</v>
      </c>
      <c r="F4" s="29">
        <v>1.1040000000000001</v>
      </c>
      <c r="G4" s="27" t="s">
        <v>12</v>
      </c>
      <c r="H4" s="27" t="s">
        <v>14</v>
      </c>
      <c r="I4" s="27" t="s">
        <v>149</v>
      </c>
      <c r="J4" s="30">
        <v>1.663</v>
      </c>
    </row>
    <row r="5" spans="1:10" s="8" customFormat="1" x14ac:dyDescent="0.3">
      <c r="A5" s="8" t="s">
        <v>229</v>
      </c>
      <c r="B5" s="8">
        <v>52.85</v>
      </c>
      <c r="C5" s="8">
        <v>11009</v>
      </c>
      <c r="D5" s="9">
        <v>12.407515205871601</v>
      </c>
      <c r="E5" s="11">
        <v>48.042609776644298</v>
      </c>
      <c r="F5" s="10">
        <v>0.219</v>
      </c>
      <c r="G5" s="8" t="s">
        <v>15</v>
      </c>
      <c r="H5" s="8" t="s">
        <v>16</v>
      </c>
      <c r="I5" s="8" t="s">
        <v>17</v>
      </c>
      <c r="J5" s="12">
        <v>6.12</v>
      </c>
    </row>
    <row r="6" spans="1:10" s="8" customFormat="1" x14ac:dyDescent="0.3">
      <c r="A6" s="8" t="s">
        <v>230</v>
      </c>
      <c r="B6" s="8">
        <v>108.69</v>
      </c>
      <c r="C6" s="8">
        <v>11400</v>
      </c>
      <c r="D6" s="11">
        <v>2.73</v>
      </c>
      <c r="E6" s="11">
        <v>18.12</v>
      </c>
      <c r="F6" s="10">
        <v>0.06</v>
      </c>
      <c r="G6" s="8" t="s">
        <v>15</v>
      </c>
      <c r="H6" s="8" t="s">
        <v>18</v>
      </c>
      <c r="I6" s="8" t="s">
        <v>19</v>
      </c>
      <c r="J6" s="12">
        <v>0.47199999999999998</v>
      </c>
    </row>
    <row r="7" spans="1:10" x14ac:dyDescent="0.3">
      <c r="A7" s="27" t="s">
        <v>231</v>
      </c>
      <c r="B7" s="27">
        <v>7.87</v>
      </c>
      <c r="C7" s="27">
        <v>11473</v>
      </c>
      <c r="D7" s="28">
        <v>57.5752552201048</v>
      </c>
      <c r="E7" s="28">
        <v>273.60665918138</v>
      </c>
      <c r="F7" s="29">
        <v>1.099</v>
      </c>
      <c r="G7" s="27" t="s">
        <v>12</v>
      </c>
      <c r="H7" s="27" t="s">
        <v>20</v>
      </c>
      <c r="I7" s="27" t="s">
        <v>21</v>
      </c>
      <c r="J7" s="30">
        <v>1.48</v>
      </c>
    </row>
    <row r="8" spans="1:10" x14ac:dyDescent="0.3">
      <c r="A8" s="27" t="s">
        <v>232</v>
      </c>
      <c r="B8" s="27">
        <v>69.44</v>
      </c>
      <c r="C8" s="27">
        <v>11691</v>
      </c>
      <c r="D8" s="28">
        <v>7.8451816482889001</v>
      </c>
      <c r="E8" s="28">
        <v>130.69323192772899</v>
      </c>
      <c r="F8" s="29">
        <v>0.187</v>
      </c>
      <c r="G8" s="27" t="s">
        <v>15</v>
      </c>
      <c r="H8" s="27" t="s">
        <v>22</v>
      </c>
      <c r="I8" s="27" t="s">
        <v>23</v>
      </c>
      <c r="J8" s="30">
        <v>5.37</v>
      </c>
    </row>
    <row r="9" spans="1:10" x14ac:dyDescent="0.3">
      <c r="A9" s="1" t="s">
        <v>233</v>
      </c>
      <c r="B9" s="1">
        <v>7.37</v>
      </c>
      <c r="C9" s="1">
        <v>11728</v>
      </c>
      <c r="D9" s="2">
        <v>67.830187031179605</v>
      </c>
      <c r="E9" s="2">
        <v>330.87396360580698</v>
      </c>
      <c r="F9" s="3">
        <v>1.4530000000000001</v>
      </c>
      <c r="G9" s="1" t="s">
        <v>15</v>
      </c>
      <c r="H9" s="1" t="s">
        <v>24</v>
      </c>
      <c r="I9" s="1" t="s">
        <v>25</v>
      </c>
      <c r="J9" s="6">
        <v>0.39</v>
      </c>
    </row>
    <row r="10" spans="1:10" x14ac:dyDescent="0.3">
      <c r="A10" s="27" t="s">
        <v>234</v>
      </c>
      <c r="B10" s="27">
        <v>23.81</v>
      </c>
      <c r="C10" s="27">
        <v>11972</v>
      </c>
      <c r="D10" s="28">
        <v>61.956614313948599</v>
      </c>
      <c r="E10" s="28">
        <v>168.65553302711101</v>
      </c>
      <c r="F10" s="29">
        <v>1.272</v>
      </c>
      <c r="G10" s="27" t="s">
        <v>12</v>
      </c>
      <c r="H10" s="27" t="s">
        <v>26</v>
      </c>
      <c r="I10" s="27" t="s">
        <v>166</v>
      </c>
      <c r="J10" s="30">
        <v>8.1210000000000004</v>
      </c>
    </row>
    <row r="11" spans="1:10" x14ac:dyDescent="0.3">
      <c r="A11" s="1" t="s">
        <v>235</v>
      </c>
      <c r="B11" s="1">
        <v>12.36</v>
      </c>
      <c r="C11" s="1">
        <v>11974</v>
      </c>
      <c r="D11" s="2">
        <v>21.122620595546699</v>
      </c>
      <c r="E11" s="2">
        <v>266.49489646922098</v>
      </c>
      <c r="F11" s="3">
        <v>1.1200000000000001</v>
      </c>
      <c r="G11" s="1" t="s">
        <v>15</v>
      </c>
      <c r="H11" s="1" t="s">
        <v>167</v>
      </c>
      <c r="I11" s="1" t="s">
        <v>161</v>
      </c>
      <c r="J11" s="6">
        <v>0.51</v>
      </c>
    </row>
    <row r="12" spans="1:10" x14ac:dyDescent="0.3">
      <c r="A12" s="27" t="s">
        <v>236</v>
      </c>
      <c r="B12" s="27">
        <v>29.4</v>
      </c>
      <c r="C12" s="27">
        <v>11995</v>
      </c>
      <c r="D12" s="28">
        <v>22.8053179364165</v>
      </c>
      <c r="E12" s="28">
        <v>97.344072068478596</v>
      </c>
      <c r="F12" s="29">
        <v>0.34699999999999998</v>
      </c>
      <c r="G12" s="27" t="s">
        <v>15</v>
      </c>
      <c r="H12" s="27" t="s">
        <v>27</v>
      </c>
      <c r="I12" s="27" t="s">
        <v>28</v>
      </c>
      <c r="J12" s="30">
        <v>1.57</v>
      </c>
    </row>
    <row r="13" spans="1:10" x14ac:dyDescent="0.3">
      <c r="A13" s="1" t="s">
        <v>237</v>
      </c>
      <c r="B13" s="1">
        <v>5.07</v>
      </c>
      <c r="C13" s="1">
        <v>12139</v>
      </c>
      <c r="D13" s="2">
        <v>66.210982291565699</v>
      </c>
      <c r="E13" s="2">
        <v>339.62716071232097</v>
      </c>
      <c r="F13" s="3">
        <v>1.4790000000000001</v>
      </c>
      <c r="G13" s="1" t="s">
        <v>15</v>
      </c>
      <c r="H13" s="1" t="s">
        <v>29</v>
      </c>
      <c r="I13" s="1" t="s">
        <v>30</v>
      </c>
      <c r="J13" s="6">
        <v>6.8000000000000005E-2</v>
      </c>
    </row>
    <row r="14" spans="1:10" x14ac:dyDescent="0.3">
      <c r="A14" s="27" t="s">
        <v>238</v>
      </c>
      <c r="B14" s="27">
        <v>22.27</v>
      </c>
      <c r="C14" s="27">
        <v>12229</v>
      </c>
      <c r="D14" s="28">
        <v>10.178734332324</v>
      </c>
      <c r="E14" s="28">
        <v>88.405137000781494</v>
      </c>
      <c r="F14" s="29">
        <v>0.187</v>
      </c>
      <c r="G14" s="27" t="s">
        <v>12</v>
      </c>
      <c r="H14" s="27" t="s">
        <v>31</v>
      </c>
      <c r="I14" s="27" t="s">
        <v>168</v>
      </c>
      <c r="J14" s="30">
        <v>4.407</v>
      </c>
    </row>
    <row r="15" spans="1:10" x14ac:dyDescent="0.3">
      <c r="A15" s="27" t="s">
        <v>239</v>
      </c>
      <c r="B15" s="27">
        <v>23.09</v>
      </c>
      <c r="C15" s="27">
        <v>12455</v>
      </c>
      <c r="D15" s="28">
        <v>11.1327924972251</v>
      </c>
      <c r="E15" s="28">
        <v>142.76421239639899</v>
      </c>
      <c r="F15" s="29">
        <v>0.20300000000000001</v>
      </c>
      <c r="G15" s="27" t="s">
        <v>12</v>
      </c>
      <c r="H15" s="27" t="s">
        <v>32</v>
      </c>
      <c r="I15" s="27" t="s">
        <v>169</v>
      </c>
      <c r="J15" s="30">
        <v>16.588000000000001</v>
      </c>
    </row>
    <row r="16" spans="1:10" x14ac:dyDescent="0.3">
      <c r="A16" s="27" t="s">
        <v>240</v>
      </c>
      <c r="B16" s="27">
        <v>5.96</v>
      </c>
      <c r="C16" s="27">
        <v>12642</v>
      </c>
      <c r="D16" s="28">
        <v>34.7048494578072</v>
      </c>
      <c r="E16" s="28">
        <v>201.055405611049</v>
      </c>
      <c r="F16" s="29">
        <v>1.1539999999999999</v>
      </c>
      <c r="G16" s="27" t="s">
        <v>12</v>
      </c>
      <c r="H16" s="27" t="s">
        <v>33</v>
      </c>
      <c r="I16" s="27" t="s">
        <v>170</v>
      </c>
      <c r="J16" s="30">
        <v>1.286</v>
      </c>
    </row>
    <row r="17" spans="1:10" x14ac:dyDescent="0.3">
      <c r="A17" s="27" t="s">
        <v>241</v>
      </c>
      <c r="B17" s="27">
        <v>6.25</v>
      </c>
      <c r="C17" s="27">
        <v>13165</v>
      </c>
      <c r="D17" s="28">
        <v>67.404748459303406</v>
      </c>
      <c r="E17" s="28">
        <v>271.25248019858799</v>
      </c>
      <c r="F17" s="29">
        <v>1.222</v>
      </c>
      <c r="G17" s="27" t="s">
        <v>12</v>
      </c>
      <c r="H17" s="27" t="s">
        <v>171</v>
      </c>
      <c r="I17" s="27" t="s">
        <v>172</v>
      </c>
      <c r="J17" s="30">
        <v>1.6910000000000001</v>
      </c>
    </row>
    <row r="18" spans="1:10" x14ac:dyDescent="0.3">
      <c r="A18" s="1" t="s">
        <v>242</v>
      </c>
      <c r="B18" s="1">
        <v>100.4</v>
      </c>
      <c r="C18" s="1">
        <v>13288</v>
      </c>
      <c r="D18" s="2">
        <v>11.936042797891799</v>
      </c>
      <c r="E18" s="2">
        <v>47.288572673115901</v>
      </c>
      <c r="F18" s="3">
        <v>0.14699999999999999</v>
      </c>
      <c r="G18" s="1" t="s">
        <v>15</v>
      </c>
      <c r="H18" s="1" t="s">
        <v>34</v>
      </c>
      <c r="I18" s="1" t="s">
        <v>35</v>
      </c>
      <c r="J18" s="6">
        <v>4.08</v>
      </c>
    </row>
    <row r="19" spans="1:10" x14ac:dyDescent="0.3">
      <c r="A19" s="20" t="s">
        <v>243</v>
      </c>
      <c r="B19" s="20">
        <v>54.6</v>
      </c>
      <c r="C19" s="20">
        <v>13369</v>
      </c>
      <c r="D19" s="21">
        <v>31.058473477714301</v>
      </c>
      <c r="E19" s="21">
        <v>68.739793278743505</v>
      </c>
      <c r="F19" s="22">
        <v>0.55500000000000005</v>
      </c>
      <c r="G19" s="20" t="s">
        <v>15</v>
      </c>
      <c r="H19" s="20" t="s">
        <v>36</v>
      </c>
      <c r="I19" s="20" t="s">
        <v>37</v>
      </c>
      <c r="J19" s="23">
        <v>7.73</v>
      </c>
    </row>
    <row r="20" spans="1:10" x14ac:dyDescent="0.3">
      <c r="A20" s="27" t="s">
        <v>244</v>
      </c>
      <c r="B20" s="27">
        <v>73.23</v>
      </c>
      <c r="C20" s="27">
        <v>13478</v>
      </c>
      <c r="D20" s="28">
        <v>14.0918003792228</v>
      </c>
      <c r="E20" s="28">
        <v>61.553405396812899</v>
      </c>
      <c r="F20" s="29">
        <v>0.18</v>
      </c>
      <c r="G20" s="27" t="s">
        <v>12</v>
      </c>
      <c r="H20" s="27" t="s">
        <v>38</v>
      </c>
      <c r="I20" s="27" t="s">
        <v>173</v>
      </c>
      <c r="J20" s="30">
        <v>159.16499999999999</v>
      </c>
    </row>
    <row r="21" spans="1:10" x14ac:dyDescent="0.3">
      <c r="A21" s="1" t="s">
        <v>245</v>
      </c>
      <c r="B21" s="1">
        <v>8.01</v>
      </c>
      <c r="C21" s="1">
        <v>14051</v>
      </c>
      <c r="D21" s="2">
        <v>62.8598751453017</v>
      </c>
      <c r="E21" s="2">
        <v>137.34782898695801</v>
      </c>
      <c r="F21" s="3">
        <v>1.2110000000000001</v>
      </c>
      <c r="G21" s="1" t="s">
        <v>12</v>
      </c>
      <c r="H21" s="1" t="s">
        <v>39</v>
      </c>
      <c r="I21" s="1" t="s">
        <v>40</v>
      </c>
      <c r="J21" s="6">
        <v>1.323</v>
      </c>
    </row>
    <row r="22" spans="1:10" x14ac:dyDescent="0.3">
      <c r="A22" s="27" t="s">
        <v>246</v>
      </c>
      <c r="B22" s="27">
        <v>9.0500000000000007</v>
      </c>
      <c r="C22" s="27">
        <v>14269</v>
      </c>
      <c r="D22" s="28">
        <v>73.686290634257006</v>
      </c>
      <c r="E22" s="28">
        <v>649.41182307140298</v>
      </c>
      <c r="F22" s="29">
        <v>1.1879999999999999</v>
      </c>
      <c r="G22" s="27" t="s">
        <v>12</v>
      </c>
      <c r="H22" s="27" t="s">
        <v>41</v>
      </c>
      <c r="I22" s="27" t="s">
        <v>42</v>
      </c>
      <c r="J22" s="30">
        <v>0.63800000000000001</v>
      </c>
    </row>
    <row r="23" spans="1:10" x14ac:dyDescent="0.3">
      <c r="A23" s="27" t="s">
        <v>247</v>
      </c>
      <c r="B23" s="27">
        <v>89.26</v>
      </c>
      <c r="C23" s="27">
        <v>15160</v>
      </c>
      <c r="D23" s="28">
        <v>22.202086479479298</v>
      </c>
      <c r="E23" s="28">
        <v>77.788262175943899</v>
      </c>
      <c r="F23" s="29">
        <v>0.498</v>
      </c>
      <c r="G23" s="27" t="s">
        <v>15</v>
      </c>
      <c r="H23" s="27" t="s">
        <v>43</v>
      </c>
      <c r="I23" s="27" t="s">
        <v>44</v>
      </c>
      <c r="J23" s="30">
        <v>7.26</v>
      </c>
    </row>
    <row r="24" spans="1:10" x14ac:dyDescent="0.3">
      <c r="A24" s="1" t="s">
        <v>248</v>
      </c>
      <c r="B24" s="1">
        <v>6.02</v>
      </c>
      <c r="C24" s="1">
        <v>15314</v>
      </c>
      <c r="D24" s="2">
        <v>43.024677700610098</v>
      </c>
      <c r="E24" s="2">
        <v>184.51099541947099</v>
      </c>
      <c r="F24" s="3">
        <v>0.71599999999999997</v>
      </c>
      <c r="G24" s="1" t="s">
        <v>15</v>
      </c>
      <c r="H24" s="1" t="s">
        <v>45</v>
      </c>
      <c r="I24" s="1" t="s">
        <v>46</v>
      </c>
      <c r="J24" s="6">
        <v>0.23699999999999999</v>
      </c>
    </row>
    <row r="25" spans="1:10" x14ac:dyDescent="0.3">
      <c r="A25" s="27" t="s">
        <v>249</v>
      </c>
      <c r="B25" s="27">
        <v>107.79</v>
      </c>
      <c r="C25" s="27">
        <v>15678</v>
      </c>
      <c r="D25" s="28">
        <v>30.4028583331764</v>
      </c>
      <c r="E25" s="31">
        <v>81.647357441975004</v>
      </c>
      <c r="F25" s="29">
        <v>0.6</v>
      </c>
      <c r="G25" s="27" t="s">
        <v>15</v>
      </c>
      <c r="H25" s="27" t="s">
        <v>47</v>
      </c>
      <c r="I25" s="27" t="s">
        <v>48</v>
      </c>
      <c r="J25" s="30">
        <v>6.28</v>
      </c>
    </row>
    <row r="26" spans="1:10" x14ac:dyDescent="0.3">
      <c r="A26" s="27" t="s">
        <v>250</v>
      </c>
      <c r="B26" s="27">
        <v>5.89</v>
      </c>
      <c r="C26" s="27">
        <v>15768</v>
      </c>
      <c r="D26" s="28">
        <v>64.812441914012197</v>
      </c>
      <c r="E26" s="28">
        <v>259.29580001372301</v>
      </c>
      <c r="F26" s="29">
        <v>1.1639999999999999</v>
      </c>
      <c r="G26" s="27" t="s">
        <v>12</v>
      </c>
      <c r="H26" s="27" t="s">
        <v>49</v>
      </c>
      <c r="I26" s="27" t="s">
        <v>174</v>
      </c>
      <c r="J26" s="30">
        <v>2.4350000000000001</v>
      </c>
    </row>
    <row r="27" spans="1:10" x14ac:dyDescent="0.3">
      <c r="A27" s="1" t="s">
        <v>251</v>
      </c>
      <c r="B27" s="1">
        <v>42.76</v>
      </c>
      <c r="C27" s="1">
        <v>16747</v>
      </c>
      <c r="D27" s="2">
        <v>47.4584293526271</v>
      </c>
      <c r="E27" s="2">
        <v>208.41483470802601</v>
      </c>
      <c r="F27" s="3">
        <v>0.72799999999999998</v>
      </c>
      <c r="G27" s="1" t="s">
        <v>15</v>
      </c>
      <c r="H27" s="1" t="s">
        <v>50</v>
      </c>
      <c r="I27" s="1" t="s">
        <v>51</v>
      </c>
      <c r="J27" s="6">
        <v>0.95699999999999996</v>
      </c>
    </row>
    <row r="28" spans="1:10" s="8" customFormat="1" x14ac:dyDescent="0.3">
      <c r="A28" s="8" t="s">
        <v>252</v>
      </c>
      <c r="B28" s="8">
        <v>178</v>
      </c>
      <c r="C28" s="8">
        <v>16999</v>
      </c>
      <c r="D28" s="9">
        <v>11.6439518466688</v>
      </c>
      <c r="E28" s="9">
        <v>53.797118712625704</v>
      </c>
      <c r="F28" s="10">
        <v>0.183</v>
      </c>
      <c r="G28" s="8" t="s">
        <v>15</v>
      </c>
      <c r="H28" s="8" t="s">
        <v>52</v>
      </c>
      <c r="I28" s="8" t="s">
        <v>53</v>
      </c>
      <c r="J28" s="12">
        <v>27.98</v>
      </c>
    </row>
    <row r="29" spans="1:10" x14ac:dyDescent="0.3">
      <c r="A29" s="1" t="s">
        <v>253</v>
      </c>
      <c r="B29" s="1">
        <v>117.25</v>
      </c>
      <c r="C29" s="1">
        <v>18020</v>
      </c>
      <c r="D29" s="2">
        <v>29.210682954777699</v>
      </c>
      <c r="E29" s="2">
        <v>132.520392455836</v>
      </c>
      <c r="F29" s="3">
        <v>0.44400000000000001</v>
      </c>
      <c r="G29" s="1" t="s">
        <v>15</v>
      </c>
      <c r="H29" s="1" t="s">
        <v>54</v>
      </c>
      <c r="I29" s="1" t="s">
        <v>55</v>
      </c>
      <c r="J29" s="6">
        <v>4.75</v>
      </c>
    </row>
    <row r="30" spans="1:10" x14ac:dyDescent="0.3">
      <c r="A30" s="27" t="s">
        <v>254</v>
      </c>
      <c r="B30" s="27">
        <v>33.700000000000003</v>
      </c>
      <c r="C30" s="27">
        <v>19146</v>
      </c>
      <c r="D30" s="28">
        <v>39.359253644454597</v>
      </c>
      <c r="E30" s="28">
        <v>249.06786431169101</v>
      </c>
      <c r="F30" s="29">
        <v>1.5669999999999999</v>
      </c>
      <c r="G30" s="27" t="s">
        <v>12</v>
      </c>
      <c r="H30" s="27" t="s">
        <v>56</v>
      </c>
      <c r="I30" s="27" t="s">
        <v>149</v>
      </c>
      <c r="J30" s="30">
        <v>2.9319999999999999</v>
      </c>
    </row>
    <row r="31" spans="1:10" x14ac:dyDescent="0.3">
      <c r="A31" s="27" t="s">
        <v>255</v>
      </c>
      <c r="B31" s="27">
        <v>140.88</v>
      </c>
      <c r="C31" s="27">
        <v>19756</v>
      </c>
      <c r="D31" s="28">
        <v>16.8317413414286</v>
      </c>
      <c r="E31" s="28">
        <v>64.707668625095806</v>
      </c>
      <c r="F31" s="29">
        <v>0.26500000000000001</v>
      </c>
      <c r="G31" s="27" t="s">
        <v>15</v>
      </c>
      <c r="H31" s="27" t="s">
        <v>58</v>
      </c>
      <c r="I31" s="27" t="s">
        <v>59</v>
      </c>
      <c r="J31" s="30">
        <v>91.64</v>
      </c>
    </row>
    <row r="32" spans="1:10" x14ac:dyDescent="0.3">
      <c r="A32" s="27" t="s">
        <v>256</v>
      </c>
      <c r="B32" s="27">
        <v>88.82</v>
      </c>
      <c r="C32" s="27">
        <v>20612</v>
      </c>
      <c r="D32" s="28">
        <v>17.0746205739419</v>
      </c>
      <c r="E32" s="28">
        <v>89.838603779212093</v>
      </c>
      <c r="F32" s="29">
        <v>0.248</v>
      </c>
      <c r="G32" s="27" t="s">
        <v>15</v>
      </c>
      <c r="H32" s="27" t="s">
        <v>60</v>
      </c>
      <c r="I32" s="27" t="s">
        <v>61</v>
      </c>
      <c r="J32" s="30">
        <v>0.52300000000000002</v>
      </c>
    </row>
    <row r="33" spans="1:10" x14ac:dyDescent="0.3">
      <c r="A33" s="1" t="s">
        <v>257</v>
      </c>
      <c r="B33" s="1">
        <v>67.680000000000007</v>
      </c>
      <c r="C33" s="1">
        <v>21420</v>
      </c>
      <c r="D33" s="2">
        <v>12.8313644668376</v>
      </c>
      <c r="E33" s="2">
        <v>40.651438814325303</v>
      </c>
      <c r="F33" s="3">
        <v>0.19700000000000001</v>
      </c>
      <c r="G33" s="1" t="s">
        <v>12</v>
      </c>
      <c r="H33" s="1" t="s">
        <v>175</v>
      </c>
      <c r="I33" s="1" t="s">
        <v>176</v>
      </c>
      <c r="J33" s="6">
        <v>113.318</v>
      </c>
    </row>
    <row r="34" spans="1:10" x14ac:dyDescent="0.3">
      <c r="A34" s="1" t="s">
        <v>258</v>
      </c>
      <c r="B34" s="1">
        <v>53.5</v>
      </c>
      <c r="C34" s="1">
        <v>21655</v>
      </c>
      <c r="D34" s="2">
        <v>10.423202136533201</v>
      </c>
      <c r="E34" s="2">
        <v>26.7390221095024</v>
      </c>
      <c r="F34" s="3">
        <v>0.155</v>
      </c>
      <c r="G34" s="1" t="s">
        <v>15</v>
      </c>
      <c r="H34" s="1" t="s">
        <v>63</v>
      </c>
      <c r="I34" s="1" t="s">
        <v>64</v>
      </c>
      <c r="J34" s="6">
        <v>9.1</v>
      </c>
    </row>
    <row r="35" spans="1:10" s="8" customFormat="1" x14ac:dyDescent="0.3">
      <c r="A35" s="8" t="s">
        <v>259</v>
      </c>
      <c r="B35" s="8">
        <v>112.21</v>
      </c>
      <c r="C35" s="8">
        <v>21916</v>
      </c>
      <c r="D35" s="9">
        <v>15.391923233072101</v>
      </c>
      <c r="E35" s="9">
        <v>46.688513924284102</v>
      </c>
      <c r="F35" s="10">
        <v>0.21</v>
      </c>
      <c r="G35" s="8" t="s">
        <v>12</v>
      </c>
      <c r="H35" s="8" t="s">
        <v>65</v>
      </c>
      <c r="I35" s="8" t="s">
        <v>177</v>
      </c>
      <c r="J35" s="12">
        <v>195.119</v>
      </c>
    </row>
    <row r="36" spans="1:10" x14ac:dyDescent="0.3">
      <c r="A36" s="1" t="s">
        <v>260</v>
      </c>
      <c r="B36" s="1">
        <v>11.46</v>
      </c>
      <c r="C36" s="1">
        <v>22046</v>
      </c>
      <c r="D36" s="2">
        <v>12.223370990884799</v>
      </c>
      <c r="E36" s="2">
        <v>57.638750778218203</v>
      </c>
      <c r="F36" s="3">
        <v>0.21299999999999999</v>
      </c>
      <c r="G36" s="1" t="s">
        <v>12</v>
      </c>
      <c r="H36" s="1" t="s">
        <v>66</v>
      </c>
      <c r="I36" s="1" t="s">
        <v>178</v>
      </c>
      <c r="J36" s="6">
        <v>12.693</v>
      </c>
    </row>
    <row r="37" spans="1:10" x14ac:dyDescent="0.3">
      <c r="A37" s="27" t="s">
        <v>261</v>
      </c>
      <c r="B37" s="27">
        <v>9.42</v>
      </c>
      <c r="C37" s="27">
        <v>22564</v>
      </c>
      <c r="D37" s="31">
        <v>70.522500411085304</v>
      </c>
      <c r="E37" s="28">
        <v>164.482129721761</v>
      </c>
      <c r="F37" s="29">
        <v>1.3009999999999999</v>
      </c>
      <c r="G37" s="27" t="s">
        <v>12</v>
      </c>
      <c r="H37" s="27" t="s">
        <v>67</v>
      </c>
      <c r="I37" s="27" t="s">
        <v>179</v>
      </c>
      <c r="J37" s="30">
        <v>3.2480000000000002</v>
      </c>
    </row>
    <row r="38" spans="1:10" x14ac:dyDescent="0.3">
      <c r="A38" s="27" t="s">
        <v>262</v>
      </c>
      <c r="B38" s="27">
        <v>29.9</v>
      </c>
      <c r="C38" s="27">
        <v>22728</v>
      </c>
      <c r="D38" s="28">
        <v>63.307537458203399</v>
      </c>
      <c r="E38" s="28">
        <v>605.82041040606896</v>
      </c>
      <c r="F38" s="29">
        <v>1.4650000000000001</v>
      </c>
      <c r="G38" s="27" t="s">
        <v>12</v>
      </c>
      <c r="H38" s="27" t="s">
        <v>68</v>
      </c>
      <c r="I38" s="27" t="s">
        <v>161</v>
      </c>
      <c r="J38" s="30">
        <v>1.2909999999999999</v>
      </c>
    </row>
    <row r="39" spans="1:10" x14ac:dyDescent="0.3">
      <c r="A39" s="8" t="s">
        <v>263</v>
      </c>
      <c r="B39" s="8">
        <v>97.02</v>
      </c>
      <c r="C39" s="8">
        <v>23222</v>
      </c>
      <c r="D39" s="9">
        <v>4.0606989853845699</v>
      </c>
      <c r="E39" s="9">
        <v>15.437958547604399</v>
      </c>
      <c r="F39" s="10">
        <v>4.7E-2</v>
      </c>
      <c r="G39" s="8" t="s">
        <v>15</v>
      </c>
      <c r="H39" s="8" t="s">
        <v>69</v>
      </c>
      <c r="I39" s="8" t="s">
        <v>70</v>
      </c>
      <c r="J39" s="12">
        <v>46.84</v>
      </c>
    </row>
    <row r="40" spans="1:10" x14ac:dyDescent="0.3">
      <c r="A40" s="8" t="s">
        <v>264</v>
      </c>
      <c r="B40" s="8">
        <v>165</v>
      </c>
      <c r="C40" s="8">
        <v>23962</v>
      </c>
      <c r="D40" s="9">
        <v>16.390428880024</v>
      </c>
      <c r="E40" s="9">
        <v>37.881339383973099</v>
      </c>
      <c r="F40" s="10">
        <v>0.19800000000000001</v>
      </c>
      <c r="G40" s="8" t="s">
        <v>12</v>
      </c>
      <c r="H40" s="8" t="s">
        <v>71</v>
      </c>
      <c r="I40" s="8" t="s">
        <v>180</v>
      </c>
      <c r="J40" s="12">
        <v>225.49700000000001</v>
      </c>
    </row>
    <row r="41" spans="1:10" x14ac:dyDescent="0.3">
      <c r="A41" s="27" t="s">
        <v>265</v>
      </c>
      <c r="B41" s="27">
        <v>29.13</v>
      </c>
      <c r="C41" s="27">
        <v>24318</v>
      </c>
      <c r="D41" s="28">
        <v>49.725307117513999</v>
      </c>
      <c r="E41" s="28">
        <v>151.78410622264801</v>
      </c>
      <c r="F41" s="29">
        <v>1.2110000000000001</v>
      </c>
      <c r="G41" s="27" t="s">
        <v>12</v>
      </c>
      <c r="H41" s="27" t="s">
        <v>181</v>
      </c>
      <c r="I41" s="27" t="s">
        <v>182</v>
      </c>
      <c r="J41" s="30">
        <v>6.2839999999999998</v>
      </c>
    </row>
    <row r="42" spans="1:10" x14ac:dyDescent="0.3">
      <c r="A42" s="27" t="s">
        <v>266</v>
      </c>
      <c r="B42" s="27">
        <v>49.36</v>
      </c>
      <c r="C42" s="27">
        <v>24864</v>
      </c>
      <c r="D42" s="28">
        <v>43.455689948887702</v>
      </c>
      <c r="E42" s="28">
        <v>467.55150847813297</v>
      </c>
      <c r="F42" s="29">
        <v>2.2400000000000002</v>
      </c>
      <c r="G42" s="27" t="s">
        <v>12</v>
      </c>
      <c r="H42" s="27" t="s">
        <v>72</v>
      </c>
      <c r="I42" s="27" t="s">
        <v>183</v>
      </c>
      <c r="J42" s="30">
        <v>1.9239999999999999</v>
      </c>
    </row>
    <row r="43" spans="1:10" x14ac:dyDescent="0.3">
      <c r="A43" s="27" t="s">
        <v>267</v>
      </c>
      <c r="B43" s="27">
        <v>51.63</v>
      </c>
      <c r="C43" s="27">
        <v>25088</v>
      </c>
      <c r="D43" s="28">
        <v>84.080916221410206</v>
      </c>
      <c r="E43" s="31">
        <v>196.43433407908299</v>
      </c>
      <c r="F43" s="29">
        <v>1.2869999999999999</v>
      </c>
      <c r="G43" s="27" t="s">
        <v>12</v>
      </c>
      <c r="H43" s="27" t="s">
        <v>73</v>
      </c>
      <c r="I43" s="27" t="s">
        <v>184</v>
      </c>
      <c r="J43" s="30">
        <v>3.2080000000000002</v>
      </c>
    </row>
    <row r="44" spans="1:10" x14ac:dyDescent="0.3">
      <c r="A44" s="27" t="s">
        <v>268</v>
      </c>
      <c r="B44" s="27">
        <v>49.86</v>
      </c>
      <c r="C44" s="27">
        <v>26416</v>
      </c>
      <c r="D44" s="28">
        <v>55.119466785929198</v>
      </c>
      <c r="E44" s="28">
        <v>155.498747172013</v>
      </c>
      <c r="F44" s="29">
        <v>1.1639999999999999</v>
      </c>
      <c r="G44" s="27" t="s">
        <v>12</v>
      </c>
      <c r="H44" s="27" t="s">
        <v>185</v>
      </c>
      <c r="I44" s="27" t="s">
        <v>186</v>
      </c>
      <c r="J44" s="30">
        <v>3.4129999999999998</v>
      </c>
    </row>
    <row r="45" spans="1:10" x14ac:dyDescent="0.3">
      <c r="A45" s="8" t="s">
        <v>269</v>
      </c>
      <c r="B45" s="8">
        <v>46.36</v>
      </c>
      <c r="C45" s="8">
        <v>27864</v>
      </c>
      <c r="D45" s="9">
        <v>11.3058248416992</v>
      </c>
      <c r="E45" s="9">
        <v>37.901975292517101</v>
      </c>
      <c r="F45" s="10">
        <v>0.17</v>
      </c>
      <c r="G45" s="8" t="s">
        <v>15</v>
      </c>
      <c r="H45" s="8" t="s">
        <v>74</v>
      </c>
      <c r="I45" s="8" t="s">
        <v>75</v>
      </c>
      <c r="J45" s="12">
        <v>22.2</v>
      </c>
    </row>
    <row r="46" spans="1:10" x14ac:dyDescent="0.3">
      <c r="A46" s="27" t="s">
        <v>270</v>
      </c>
      <c r="B46" s="27">
        <v>37.94</v>
      </c>
      <c r="C46" s="27">
        <v>28734</v>
      </c>
      <c r="D46" s="28">
        <v>22.062391224972099</v>
      </c>
      <c r="E46" s="28">
        <v>165.73780065827299</v>
      </c>
      <c r="F46" s="29">
        <v>1.2010000000000001</v>
      </c>
      <c r="G46" s="27" t="s">
        <v>12</v>
      </c>
      <c r="H46" s="27" t="s">
        <v>76</v>
      </c>
      <c r="I46" s="27" t="s">
        <v>187</v>
      </c>
      <c r="J46" s="30">
        <v>4.5519999999999996</v>
      </c>
    </row>
    <row r="47" spans="1:10" x14ac:dyDescent="0.3">
      <c r="A47" s="27" t="s">
        <v>271</v>
      </c>
      <c r="B47" s="27">
        <v>7.38</v>
      </c>
      <c r="C47" s="27">
        <v>29349</v>
      </c>
      <c r="D47" s="28">
        <v>86.957376773160206</v>
      </c>
      <c r="E47" s="28">
        <v>219.79684372261801</v>
      </c>
      <c r="F47" s="29">
        <v>1.216</v>
      </c>
      <c r="G47" s="27" t="s">
        <v>12</v>
      </c>
      <c r="H47" s="27" t="s">
        <v>77</v>
      </c>
      <c r="I47" s="27" t="s">
        <v>188</v>
      </c>
      <c r="J47" s="30">
        <v>1.0329999999999999</v>
      </c>
    </row>
    <row r="48" spans="1:10" x14ac:dyDescent="0.3">
      <c r="A48" s="8" t="s">
        <v>272</v>
      </c>
      <c r="B48" s="8">
        <v>160.71</v>
      </c>
      <c r="C48" s="8">
        <v>29957</v>
      </c>
      <c r="D48" s="9">
        <v>14.271182575194</v>
      </c>
      <c r="E48" s="9">
        <v>55.922714868952802</v>
      </c>
      <c r="F48" s="10">
        <v>0.17799999999999999</v>
      </c>
      <c r="G48" s="8" t="s">
        <v>12</v>
      </c>
      <c r="H48" s="8" t="s">
        <v>78</v>
      </c>
      <c r="I48" s="8" t="s">
        <v>173</v>
      </c>
      <c r="J48" s="12">
        <v>373.49</v>
      </c>
    </row>
    <row r="49" spans="1:10" x14ac:dyDescent="0.3">
      <c r="A49" s="27" t="s">
        <v>273</v>
      </c>
      <c r="B49" s="27">
        <v>17.510000000000002</v>
      </c>
      <c r="C49" s="27">
        <v>30599</v>
      </c>
      <c r="D49" s="28">
        <v>43.138975027557699</v>
      </c>
      <c r="E49" s="28">
        <v>321.29369797218999</v>
      </c>
      <c r="F49" s="29">
        <v>1.2010000000000001</v>
      </c>
      <c r="G49" s="27" t="s">
        <v>12</v>
      </c>
      <c r="H49" s="27" t="s">
        <v>79</v>
      </c>
      <c r="I49" s="27" t="s">
        <v>80</v>
      </c>
      <c r="J49" s="30">
        <v>3.5579999999999998</v>
      </c>
    </row>
    <row r="50" spans="1:10" x14ac:dyDescent="0.3">
      <c r="A50" s="27" t="s">
        <v>274</v>
      </c>
      <c r="B50" s="27">
        <v>18.95</v>
      </c>
      <c r="C50" s="27">
        <v>31408</v>
      </c>
      <c r="D50" s="28">
        <v>10.842288639269199</v>
      </c>
      <c r="E50" s="28">
        <v>71.770235142047596</v>
      </c>
      <c r="F50" s="29">
        <v>0.21099999999999999</v>
      </c>
      <c r="G50" s="27" t="s">
        <v>12</v>
      </c>
      <c r="H50" s="27" t="s">
        <v>81</v>
      </c>
      <c r="I50" s="27" t="s">
        <v>189</v>
      </c>
      <c r="J50" s="30">
        <v>65.188000000000002</v>
      </c>
    </row>
    <row r="51" spans="1:10" x14ac:dyDescent="0.3">
      <c r="A51" s="27" t="s">
        <v>275</v>
      </c>
      <c r="B51" s="27">
        <v>18.62</v>
      </c>
      <c r="C51" s="27">
        <v>34346</v>
      </c>
      <c r="D51" s="28">
        <v>17.568318201375899</v>
      </c>
      <c r="E51" s="28">
        <v>97.782207386491507</v>
      </c>
      <c r="F51" s="29">
        <v>0.223</v>
      </c>
      <c r="G51" s="27" t="s">
        <v>12</v>
      </c>
      <c r="H51" s="27" t="s">
        <v>82</v>
      </c>
      <c r="I51" s="27" t="s">
        <v>173</v>
      </c>
      <c r="J51" s="30">
        <v>35.676000000000002</v>
      </c>
    </row>
    <row r="52" spans="1:10" x14ac:dyDescent="0.3">
      <c r="A52" s="27" t="s">
        <v>276</v>
      </c>
      <c r="B52" s="27">
        <v>53.79</v>
      </c>
      <c r="C52" s="27">
        <v>36473</v>
      </c>
      <c r="D52" s="28">
        <v>54.746417815368602</v>
      </c>
      <c r="E52" s="28">
        <v>176.94043486903701</v>
      </c>
      <c r="F52" s="29">
        <v>1.1200000000000001</v>
      </c>
      <c r="G52" s="27" t="s">
        <v>12</v>
      </c>
      <c r="H52" s="32" t="s">
        <v>83</v>
      </c>
      <c r="I52" s="27" t="s">
        <v>21</v>
      </c>
      <c r="J52" s="30">
        <v>5.923</v>
      </c>
    </row>
    <row r="53" spans="1:10" x14ac:dyDescent="0.3">
      <c r="A53" s="27" t="s">
        <v>277</v>
      </c>
      <c r="B53" s="27">
        <v>9.19</v>
      </c>
      <c r="C53" s="27">
        <v>37706</v>
      </c>
      <c r="D53" s="31">
        <v>64.202862084006696</v>
      </c>
      <c r="E53" s="28">
        <v>426.34483687478797</v>
      </c>
      <c r="F53" s="29">
        <v>1.6759999999999999</v>
      </c>
      <c r="G53" s="27" t="s">
        <v>12</v>
      </c>
      <c r="H53" s="32" t="s">
        <v>190</v>
      </c>
      <c r="I53" s="27" t="s">
        <v>191</v>
      </c>
      <c r="J53" s="30">
        <v>5.6429999999999998</v>
      </c>
    </row>
    <row r="54" spans="1:10" x14ac:dyDescent="0.3">
      <c r="A54" s="27" t="s">
        <v>278</v>
      </c>
      <c r="B54" s="27">
        <v>152.01</v>
      </c>
      <c r="C54" s="27">
        <v>39207</v>
      </c>
      <c r="D54" s="28">
        <v>21.4575719355534</v>
      </c>
      <c r="E54" s="28">
        <v>77.888274924273304</v>
      </c>
      <c r="F54" s="29">
        <v>0.34699999999999998</v>
      </c>
      <c r="G54" s="27" t="s">
        <v>15</v>
      </c>
      <c r="H54" s="27" t="s">
        <v>84</v>
      </c>
      <c r="I54" s="27" t="s">
        <v>85</v>
      </c>
      <c r="J54" s="30">
        <v>2.27</v>
      </c>
    </row>
    <row r="55" spans="1:10" x14ac:dyDescent="0.3">
      <c r="A55" s="27" t="s">
        <v>279</v>
      </c>
      <c r="B55" s="27">
        <v>9.58</v>
      </c>
      <c r="C55" s="27">
        <v>40923</v>
      </c>
      <c r="D55" s="28">
        <v>19.104970436241398</v>
      </c>
      <c r="E55" s="28">
        <v>177.51509421188101</v>
      </c>
      <c r="F55" s="29">
        <v>1.111</v>
      </c>
      <c r="G55" s="27" t="s">
        <v>12</v>
      </c>
      <c r="H55" s="27" t="s">
        <v>86</v>
      </c>
      <c r="I55" s="27" t="s">
        <v>192</v>
      </c>
      <c r="J55" s="30">
        <v>3.1059999999999999</v>
      </c>
    </row>
    <row r="56" spans="1:10" x14ac:dyDescent="0.3">
      <c r="A56" s="8" t="s">
        <v>280</v>
      </c>
      <c r="B56" s="8">
        <v>91.7</v>
      </c>
      <c r="C56" s="8">
        <v>46358</v>
      </c>
      <c r="D56" s="9">
        <v>6.8006392083759097</v>
      </c>
      <c r="E56" s="9">
        <v>39.3465539414604</v>
      </c>
      <c r="F56" s="10">
        <v>0.222</v>
      </c>
      <c r="G56" s="8" t="s">
        <v>15</v>
      </c>
      <c r="H56" s="8" t="s">
        <v>87</v>
      </c>
      <c r="I56" s="8" t="s">
        <v>88</v>
      </c>
      <c r="J56" s="12">
        <v>16.690000000000001</v>
      </c>
    </row>
    <row r="57" spans="1:10" x14ac:dyDescent="0.3">
      <c r="A57" s="8" t="s">
        <v>281</v>
      </c>
      <c r="B57" s="8">
        <v>117.12</v>
      </c>
      <c r="C57" s="8">
        <v>50853</v>
      </c>
      <c r="D57" s="9">
        <v>10.6660821082609</v>
      </c>
      <c r="E57" s="9">
        <v>45.455066728797398</v>
      </c>
      <c r="F57" s="10">
        <v>0.16600000000000001</v>
      </c>
      <c r="G57" s="8" t="s">
        <v>15</v>
      </c>
      <c r="H57" s="8" t="s">
        <v>89</v>
      </c>
      <c r="I57" s="8" t="s">
        <v>90</v>
      </c>
      <c r="J57" s="12">
        <v>27.96</v>
      </c>
    </row>
    <row r="58" spans="1:10" x14ac:dyDescent="0.3">
      <c r="A58" s="8" t="s">
        <v>282</v>
      </c>
      <c r="B58" s="8">
        <v>87.9</v>
      </c>
      <c r="C58" s="8">
        <v>54759</v>
      </c>
      <c r="D58" s="9">
        <v>10.058087893093701</v>
      </c>
      <c r="E58" s="9">
        <v>32.418920660000197</v>
      </c>
      <c r="F58" s="10">
        <v>0.16700000000000001</v>
      </c>
      <c r="G58" s="8" t="s">
        <v>15</v>
      </c>
      <c r="H58" s="8" t="s">
        <v>91</v>
      </c>
      <c r="I58" s="8" t="s">
        <v>92</v>
      </c>
      <c r="J58" s="12">
        <v>16.149999999999999</v>
      </c>
    </row>
    <row r="59" spans="1:10" x14ac:dyDescent="0.3">
      <c r="A59" s="1" t="s">
        <v>283</v>
      </c>
      <c r="B59" s="1">
        <v>34.01</v>
      </c>
      <c r="C59" s="1">
        <v>55282</v>
      </c>
      <c r="D59" s="2">
        <v>13.099644583768001</v>
      </c>
      <c r="E59" s="2">
        <v>51.760417520400402</v>
      </c>
      <c r="F59" s="3">
        <v>0.21199999999999999</v>
      </c>
      <c r="G59" s="1" t="s">
        <v>15</v>
      </c>
      <c r="H59" s="1" t="s">
        <v>93</v>
      </c>
      <c r="I59" s="1" t="s">
        <v>94</v>
      </c>
      <c r="J59" s="6">
        <v>1.8</v>
      </c>
    </row>
    <row r="60" spans="1:10" x14ac:dyDescent="0.3">
      <c r="A60" s="8" t="s">
        <v>284</v>
      </c>
      <c r="B60" s="8">
        <v>242.7</v>
      </c>
      <c r="C60" s="8">
        <v>57939</v>
      </c>
      <c r="D60" s="9">
        <v>11.094693388242501</v>
      </c>
      <c r="E60" s="9">
        <v>39.641819818431898</v>
      </c>
      <c r="F60" s="10">
        <v>0.20599999999999999</v>
      </c>
      <c r="G60" s="8" t="s">
        <v>12</v>
      </c>
      <c r="H60" s="8" t="s">
        <v>95</v>
      </c>
      <c r="I60" s="8" t="s">
        <v>149</v>
      </c>
      <c r="J60" s="12">
        <v>584.88199999999995</v>
      </c>
    </row>
    <row r="61" spans="1:10" x14ac:dyDescent="0.3">
      <c r="A61" s="8" t="s">
        <v>285</v>
      </c>
      <c r="B61" s="8">
        <v>49.16</v>
      </c>
      <c r="C61" s="8">
        <v>60143</v>
      </c>
      <c r="D61" s="9">
        <v>13.942579608255601</v>
      </c>
      <c r="E61" s="9">
        <v>44.880407385954001</v>
      </c>
      <c r="F61" s="10">
        <v>0.19700000000000001</v>
      </c>
      <c r="G61" s="8" t="s">
        <v>12</v>
      </c>
      <c r="H61" s="8" t="s">
        <v>96</v>
      </c>
      <c r="I61" s="8" t="s">
        <v>193</v>
      </c>
      <c r="J61" s="12">
        <v>207.34100000000001</v>
      </c>
    </row>
    <row r="62" spans="1:10" x14ac:dyDescent="0.3">
      <c r="A62" s="8" t="s">
        <v>286</v>
      </c>
      <c r="B62" s="8">
        <v>79.67</v>
      </c>
      <c r="C62" s="8">
        <v>60636</v>
      </c>
      <c r="D62" s="9">
        <v>12.455138352885401</v>
      </c>
      <c r="E62" s="9">
        <v>35.644618608803903</v>
      </c>
      <c r="F62" s="10">
        <v>0.17</v>
      </c>
      <c r="G62" s="8" t="s">
        <v>12</v>
      </c>
      <c r="H62" s="8" t="s">
        <v>97</v>
      </c>
      <c r="I62" s="8" t="s">
        <v>180</v>
      </c>
      <c r="J62" s="12">
        <v>343.18200000000002</v>
      </c>
    </row>
    <row r="63" spans="1:10" x14ac:dyDescent="0.3">
      <c r="A63" s="8" t="s">
        <v>287</v>
      </c>
      <c r="B63" s="8">
        <v>79.23</v>
      </c>
      <c r="C63" s="8">
        <v>61298</v>
      </c>
      <c r="D63" s="9">
        <v>15.095069523619101</v>
      </c>
      <c r="E63" s="9">
        <v>43.037377403604303</v>
      </c>
      <c r="F63" s="10">
        <v>0.22</v>
      </c>
      <c r="G63" s="8" t="s">
        <v>12</v>
      </c>
      <c r="H63" s="8" t="s">
        <v>98</v>
      </c>
      <c r="I63" s="8" t="s">
        <v>194</v>
      </c>
      <c r="J63" s="12">
        <v>310.30399999999997</v>
      </c>
    </row>
    <row r="64" spans="1:10" x14ac:dyDescent="0.3">
      <c r="A64" s="27" t="s">
        <v>288</v>
      </c>
      <c r="B64" s="27">
        <v>111.56</v>
      </c>
      <c r="C64" s="27">
        <v>62884</v>
      </c>
      <c r="D64" s="28">
        <v>4.3083413457350996</v>
      </c>
      <c r="E64" s="28">
        <v>78.240685029432399</v>
      </c>
      <c r="F64" s="29">
        <v>0.05</v>
      </c>
      <c r="G64" s="27" t="s">
        <v>15</v>
      </c>
      <c r="H64" s="27" t="s">
        <v>99</v>
      </c>
      <c r="I64" s="27" t="s">
        <v>100</v>
      </c>
      <c r="J64" s="30">
        <v>28.51</v>
      </c>
    </row>
    <row r="65" spans="1:10" x14ac:dyDescent="0.3">
      <c r="A65" s="27" t="s">
        <v>289</v>
      </c>
      <c r="B65" s="27">
        <v>20.54</v>
      </c>
      <c r="C65" s="27">
        <v>64765</v>
      </c>
      <c r="D65" s="28">
        <v>2.7796262404373602</v>
      </c>
      <c r="E65" s="28">
        <v>100.331651325355</v>
      </c>
      <c r="F65" s="29">
        <v>0.113</v>
      </c>
      <c r="G65" s="27" t="s">
        <v>15</v>
      </c>
      <c r="H65" s="27" t="s">
        <v>101</v>
      </c>
      <c r="I65" s="27" t="s">
        <v>102</v>
      </c>
      <c r="J65" s="30">
        <v>7.55</v>
      </c>
    </row>
    <row r="66" spans="1:10" x14ac:dyDescent="0.3">
      <c r="A66" s="27" t="s">
        <v>290</v>
      </c>
      <c r="B66" s="27">
        <v>10.72</v>
      </c>
      <c r="C66" s="27">
        <v>65778</v>
      </c>
      <c r="D66" s="28">
        <v>37.881339383973099</v>
      </c>
      <c r="E66" s="28">
        <v>164.32655170715299</v>
      </c>
      <c r="F66" s="29">
        <v>1.1850000000000001</v>
      </c>
      <c r="G66" s="27" t="s">
        <v>12</v>
      </c>
      <c r="H66" s="27" t="s">
        <v>103</v>
      </c>
      <c r="I66" s="27" t="s">
        <v>195</v>
      </c>
      <c r="J66" s="30">
        <v>3.4039999999999999</v>
      </c>
    </row>
    <row r="67" spans="1:10" x14ac:dyDescent="0.3">
      <c r="A67" s="20" t="s">
        <v>291</v>
      </c>
      <c r="B67" s="20">
        <v>124.72</v>
      </c>
      <c r="C67" s="20">
        <v>65875</v>
      </c>
      <c r="D67" s="21">
        <v>22.2719348459472</v>
      </c>
      <c r="E67" s="21">
        <v>63.010686705607903</v>
      </c>
      <c r="F67" s="22">
        <v>0.32</v>
      </c>
      <c r="G67" s="20" t="s">
        <v>15</v>
      </c>
      <c r="H67" s="20" t="s">
        <v>104</v>
      </c>
      <c r="I67" s="20" t="s">
        <v>105</v>
      </c>
      <c r="J67" s="23">
        <v>8.34</v>
      </c>
    </row>
    <row r="68" spans="1:10" x14ac:dyDescent="0.3">
      <c r="A68" s="1" t="s">
        <v>292</v>
      </c>
      <c r="B68" s="1">
        <v>72.069999999999993</v>
      </c>
      <c r="C68" s="1">
        <v>66391</v>
      </c>
      <c r="D68" s="2">
        <v>21.486147006504702</v>
      </c>
      <c r="E68" s="2">
        <v>65.304551708964695</v>
      </c>
      <c r="F68" s="3">
        <v>0.28699999999999998</v>
      </c>
      <c r="G68" s="1" t="s">
        <v>15</v>
      </c>
      <c r="H68" s="1" t="s">
        <v>106</v>
      </c>
      <c r="I68" s="1" t="s">
        <v>107</v>
      </c>
      <c r="J68" s="6">
        <v>4.3</v>
      </c>
    </row>
    <row r="69" spans="1:10" x14ac:dyDescent="0.3">
      <c r="A69" s="8" t="s">
        <v>293</v>
      </c>
      <c r="B69" s="8">
        <v>28.01</v>
      </c>
      <c r="C69" s="8">
        <v>66527</v>
      </c>
      <c r="D69" s="9">
        <v>16.145961815029199</v>
      </c>
      <c r="E69" s="11">
        <v>50.2253531180164</v>
      </c>
      <c r="F69" s="10">
        <v>0.22</v>
      </c>
      <c r="G69" s="8" t="s">
        <v>12</v>
      </c>
      <c r="H69" s="8" t="s">
        <v>108</v>
      </c>
      <c r="I69" s="8" t="s">
        <v>193</v>
      </c>
      <c r="J69" s="12">
        <v>196.08600000000001</v>
      </c>
    </row>
    <row r="70" spans="1:10" x14ac:dyDescent="0.3">
      <c r="A70" s="27" t="s">
        <v>294</v>
      </c>
      <c r="B70" s="27">
        <v>71.599999999999994</v>
      </c>
      <c r="C70" s="27">
        <v>90336</v>
      </c>
      <c r="D70" s="28">
        <v>28.9566888948941</v>
      </c>
      <c r="E70" s="28">
        <v>89.208385083805098</v>
      </c>
      <c r="F70" s="29">
        <v>0.437</v>
      </c>
      <c r="G70" s="27" t="s">
        <v>15</v>
      </c>
      <c r="H70" s="27" t="s">
        <v>109</v>
      </c>
      <c r="I70" s="27" t="s">
        <v>110</v>
      </c>
      <c r="J70" s="30">
        <v>6.68</v>
      </c>
    </row>
    <row r="71" spans="1:10" x14ac:dyDescent="0.3">
      <c r="A71" s="27" t="s">
        <v>295</v>
      </c>
      <c r="B71" s="27">
        <v>8.6999999999999993</v>
      </c>
      <c r="C71" s="27">
        <v>94173</v>
      </c>
      <c r="D71" s="28">
        <v>61.210516372827598</v>
      </c>
      <c r="E71" s="31">
        <v>245.37385040029699</v>
      </c>
      <c r="F71" s="29">
        <v>1.5069999999999999</v>
      </c>
      <c r="G71" s="27" t="s">
        <v>12</v>
      </c>
      <c r="H71" s="27" t="s">
        <v>111</v>
      </c>
      <c r="I71" s="27" t="s">
        <v>57</v>
      </c>
      <c r="J71" s="30">
        <v>8.5670000000000002</v>
      </c>
    </row>
    <row r="72" spans="1:10" x14ac:dyDescent="0.3">
      <c r="A72" s="27" t="s">
        <v>296</v>
      </c>
      <c r="B72" s="27">
        <v>147.94999999999999</v>
      </c>
      <c r="C72" s="27">
        <v>103303</v>
      </c>
      <c r="D72" s="28">
        <v>60.242169194022097</v>
      </c>
      <c r="E72" s="28">
        <v>154.55262373423301</v>
      </c>
      <c r="F72" s="29">
        <v>1.1879999999999999</v>
      </c>
      <c r="G72" s="27" t="s">
        <v>12</v>
      </c>
      <c r="H72" s="27" t="s">
        <v>112</v>
      </c>
      <c r="I72" s="27" t="s">
        <v>196</v>
      </c>
      <c r="J72" s="30">
        <v>41.506999999999998</v>
      </c>
    </row>
    <row r="73" spans="1:10" x14ac:dyDescent="0.3">
      <c r="A73" s="27" t="s">
        <v>297</v>
      </c>
      <c r="B73" s="27">
        <v>14.95</v>
      </c>
      <c r="C73" s="27">
        <v>103440</v>
      </c>
      <c r="D73" s="28">
        <v>16.128500093019401</v>
      </c>
      <c r="E73" s="28">
        <v>237.09370318524299</v>
      </c>
      <c r="F73" s="29">
        <v>1.091</v>
      </c>
      <c r="G73" s="27" t="s">
        <v>12</v>
      </c>
      <c r="H73" s="27" t="s">
        <v>113</v>
      </c>
      <c r="I73" s="27" t="s">
        <v>197</v>
      </c>
      <c r="J73" s="30">
        <v>6.2610000000000001</v>
      </c>
    </row>
    <row r="74" spans="1:10" x14ac:dyDescent="0.3">
      <c r="A74" s="27" t="s">
        <v>298</v>
      </c>
      <c r="B74" s="27">
        <v>80.28</v>
      </c>
      <c r="C74" s="27">
        <v>106194</v>
      </c>
      <c r="D74" s="28">
        <v>56.848199441331303</v>
      </c>
      <c r="E74" s="28">
        <v>187.21601145922801</v>
      </c>
      <c r="F74" s="29">
        <v>1.0940000000000001</v>
      </c>
      <c r="G74" s="27" t="s">
        <v>12</v>
      </c>
      <c r="H74" s="27" t="s">
        <v>114</v>
      </c>
      <c r="I74" s="27" t="s">
        <v>198</v>
      </c>
      <c r="J74" s="30">
        <v>29.37</v>
      </c>
    </row>
    <row r="75" spans="1:10" x14ac:dyDescent="0.3">
      <c r="A75" s="27" t="s">
        <v>299</v>
      </c>
      <c r="B75" s="27">
        <v>80.790000000000006</v>
      </c>
      <c r="C75" s="27">
        <v>117619</v>
      </c>
      <c r="D75" s="28">
        <v>16.782530361933301</v>
      </c>
      <c r="E75" s="28">
        <v>69.666862726746004</v>
      </c>
      <c r="F75" s="29">
        <v>0.34899999999999998</v>
      </c>
      <c r="G75" s="27" t="s">
        <v>15</v>
      </c>
      <c r="H75" s="27" t="s">
        <v>115</v>
      </c>
      <c r="I75" s="27" t="s">
        <v>116</v>
      </c>
      <c r="J75" s="30">
        <v>6.06</v>
      </c>
    </row>
    <row r="76" spans="1:10" x14ac:dyDescent="0.3">
      <c r="A76" s="8" t="s">
        <v>300</v>
      </c>
      <c r="B76" s="8">
        <v>52.44</v>
      </c>
      <c r="C76" s="8">
        <v>138682</v>
      </c>
      <c r="D76" s="9">
        <v>12.1805098628866</v>
      </c>
      <c r="E76" s="9">
        <v>49.9697741825088</v>
      </c>
      <c r="F76" s="10">
        <v>0.17499999999999999</v>
      </c>
      <c r="G76" s="8" t="s">
        <v>15</v>
      </c>
      <c r="H76" s="8" t="s">
        <v>117</v>
      </c>
      <c r="I76" s="14" t="s">
        <v>118</v>
      </c>
      <c r="J76" s="12">
        <v>55.29</v>
      </c>
    </row>
    <row r="77" spans="1:10" x14ac:dyDescent="0.3">
      <c r="A77" s="8" t="s">
        <v>301</v>
      </c>
      <c r="B77" s="8">
        <v>104.77</v>
      </c>
      <c r="C77" s="8">
        <v>144747</v>
      </c>
      <c r="D77" s="9">
        <v>9.10403046740708</v>
      </c>
      <c r="E77" s="9">
        <v>36.887592799179302</v>
      </c>
      <c r="F77" s="10">
        <v>0.14699999999999999</v>
      </c>
      <c r="G77" s="8" t="s">
        <v>15</v>
      </c>
      <c r="H77" s="8" t="s">
        <v>119</v>
      </c>
      <c r="I77" s="8" t="s">
        <v>120</v>
      </c>
      <c r="J77" s="12">
        <v>74.34</v>
      </c>
    </row>
    <row r="78" spans="1:10" x14ac:dyDescent="0.3">
      <c r="A78" s="27" t="s">
        <v>302</v>
      </c>
      <c r="B78" s="27">
        <v>14.64</v>
      </c>
      <c r="C78" s="27">
        <v>156778</v>
      </c>
      <c r="D78" s="28">
        <v>60.472348723541302</v>
      </c>
      <c r="E78" s="28">
        <v>268.428397420723</v>
      </c>
      <c r="F78" s="29">
        <v>1.089</v>
      </c>
      <c r="G78" s="27" t="s">
        <v>12</v>
      </c>
      <c r="H78" s="27" t="s">
        <v>121</v>
      </c>
      <c r="I78" s="27" t="s">
        <v>147</v>
      </c>
      <c r="J78" s="30">
        <v>5.7839999999999998</v>
      </c>
    </row>
    <row r="79" spans="1:10" x14ac:dyDescent="0.3">
      <c r="A79" s="20" t="s">
        <v>303</v>
      </c>
      <c r="B79" s="20">
        <v>38.75</v>
      </c>
      <c r="C79" s="20">
        <v>166619</v>
      </c>
      <c r="D79" s="21">
        <v>17.041283483975</v>
      </c>
      <c r="E79" s="25">
        <v>59.816730622145997</v>
      </c>
      <c r="F79" s="22">
        <v>0.249</v>
      </c>
      <c r="G79" s="20" t="s">
        <v>15</v>
      </c>
      <c r="H79" s="20" t="s">
        <v>122</v>
      </c>
      <c r="I79" s="20" t="s">
        <v>123</v>
      </c>
      <c r="J79" s="23">
        <v>6.63</v>
      </c>
    </row>
    <row r="80" spans="1:10" x14ac:dyDescent="0.3">
      <c r="A80" s="8" t="s">
        <v>304</v>
      </c>
      <c r="B80" s="8">
        <v>39.5</v>
      </c>
      <c r="C80" s="8">
        <v>170472</v>
      </c>
      <c r="D80" s="9">
        <v>17.5318069248748</v>
      </c>
      <c r="E80" s="9">
        <v>54.873408931595399</v>
      </c>
      <c r="F80" s="10">
        <v>0.30299999999999999</v>
      </c>
      <c r="G80" s="8" t="s">
        <v>15</v>
      </c>
      <c r="H80" s="8" t="s">
        <v>124</v>
      </c>
      <c r="I80" s="8" t="s">
        <v>125</v>
      </c>
      <c r="J80" s="12">
        <v>8.75</v>
      </c>
    </row>
    <row r="81" spans="1:11" x14ac:dyDescent="0.3">
      <c r="A81" s="20" t="s">
        <v>305</v>
      </c>
      <c r="B81" s="20">
        <v>143.15</v>
      </c>
      <c r="C81" s="20">
        <v>178234</v>
      </c>
      <c r="D81" s="21">
        <v>20.927363031618398</v>
      </c>
      <c r="E81" s="21">
        <v>59.354786687483703</v>
      </c>
      <c r="F81" s="22">
        <v>0.53500000000000003</v>
      </c>
      <c r="G81" s="20" t="s">
        <v>15</v>
      </c>
      <c r="H81" s="20" t="s">
        <v>126</v>
      </c>
      <c r="I81" s="20" t="s">
        <v>127</v>
      </c>
      <c r="J81" s="23">
        <v>12.2</v>
      </c>
    </row>
    <row r="82" spans="1:11" x14ac:dyDescent="0.3">
      <c r="A82" s="27" t="s">
        <v>306</v>
      </c>
      <c r="B82" s="27">
        <v>32.72</v>
      </c>
      <c r="C82" s="27">
        <v>187299</v>
      </c>
      <c r="D82" s="28">
        <v>13.3044247072988</v>
      </c>
      <c r="E82" s="28">
        <v>75.237227447740594</v>
      </c>
      <c r="F82" s="29">
        <v>0.317</v>
      </c>
      <c r="G82" s="27" t="s">
        <v>15</v>
      </c>
      <c r="H82" s="27" t="s">
        <v>128</v>
      </c>
      <c r="I82" s="27" t="s">
        <v>129</v>
      </c>
      <c r="J82" s="30">
        <v>8.65</v>
      </c>
    </row>
    <row r="83" spans="1:11" x14ac:dyDescent="0.3">
      <c r="A83" s="1" t="s">
        <v>307</v>
      </c>
      <c r="B83" s="1">
        <v>66.849999999999994</v>
      </c>
      <c r="C83" s="1">
        <v>197930</v>
      </c>
      <c r="D83" s="2">
        <v>70.108173709721797</v>
      </c>
      <c r="E83" s="2">
        <v>218.68721789211</v>
      </c>
      <c r="F83" s="3">
        <v>1.1200000000000001</v>
      </c>
      <c r="G83" s="1" t="s">
        <v>15</v>
      </c>
      <c r="H83" s="1" t="s">
        <v>130</v>
      </c>
      <c r="I83" s="1" t="s">
        <v>131</v>
      </c>
      <c r="J83" s="6">
        <v>11.86</v>
      </c>
    </row>
    <row r="84" spans="1:11" x14ac:dyDescent="0.3">
      <c r="A84" s="27" t="s">
        <v>308</v>
      </c>
      <c r="B84" s="27">
        <v>36.33</v>
      </c>
      <c r="C84" s="27">
        <v>198130</v>
      </c>
      <c r="D84" s="28">
        <v>31.398189793594099</v>
      </c>
      <c r="E84" s="28">
        <v>94.235841197870499</v>
      </c>
      <c r="F84" s="29">
        <v>0.70299999999999996</v>
      </c>
      <c r="G84" s="27" t="s">
        <v>15</v>
      </c>
      <c r="H84" s="27" t="s">
        <v>132</v>
      </c>
      <c r="I84" s="27" t="s">
        <v>133</v>
      </c>
      <c r="J84" s="30">
        <v>5.13</v>
      </c>
    </row>
    <row r="85" spans="1:11" x14ac:dyDescent="0.3">
      <c r="A85" s="27" t="s">
        <v>309</v>
      </c>
      <c r="B85" s="27">
        <v>13.46</v>
      </c>
      <c r="C85" s="27">
        <v>237768</v>
      </c>
      <c r="D85" s="28">
        <v>72.943362444383794</v>
      </c>
      <c r="E85" s="28">
        <v>144.58977622145201</v>
      </c>
      <c r="F85" s="29">
        <v>1.141</v>
      </c>
      <c r="G85" s="27" t="s">
        <v>12</v>
      </c>
      <c r="H85" s="27" t="s">
        <v>134</v>
      </c>
      <c r="I85" s="27" t="s">
        <v>199</v>
      </c>
      <c r="J85" s="30">
        <v>4.0750000000000002</v>
      </c>
    </row>
    <row r="86" spans="1:11" x14ac:dyDescent="0.3">
      <c r="A86" s="8" t="s">
        <v>310</v>
      </c>
      <c r="B86" s="8">
        <v>62.41</v>
      </c>
      <c r="C86" s="8">
        <v>251565</v>
      </c>
      <c r="D86" s="9">
        <v>9.6691628153617408</v>
      </c>
      <c r="E86" s="9">
        <v>44.596256336352702</v>
      </c>
      <c r="F86" s="10">
        <v>0.21299999999999999</v>
      </c>
      <c r="G86" s="8" t="s">
        <v>15</v>
      </c>
      <c r="H86" s="8" t="s">
        <v>135</v>
      </c>
      <c r="I86" s="8" t="s">
        <v>136</v>
      </c>
      <c r="J86" s="12">
        <v>26.95</v>
      </c>
    </row>
    <row r="87" spans="1:11" x14ac:dyDescent="0.3">
      <c r="A87" s="20" t="s">
        <v>311</v>
      </c>
      <c r="B87" s="20">
        <v>106.26</v>
      </c>
      <c r="C87" s="20">
        <v>300005</v>
      </c>
      <c r="D87" s="21">
        <v>28.616975535871699</v>
      </c>
      <c r="E87" s="21">
        <v>61.586741008350998</v>
      </c>
      <c r="F87" s="22">
        <v>0.49299999999999999</v>
      </c>
      <c r="G87" s="20" t="s">
        <v>15</v>
      </c>
      <c r="H87" s="20" t="s">
        <v>137</v>
      </c>
      <c r="I87" s="20" t="s">
        <v>138</v>
      </c>
      <c r="J87" s="23">
        <v>28.89</v>
      </c>
    </row>
    <row r="88" spans="1:11" x14ac:dyDescent="0.3">
      <c r="A88" s="8" t="s">
        <v>312</v>
      </c>
      <c r="B88" s="8">
        <v>54.99</v>
      </c>
      <c r="C88" s="8">
        <v>338667</v>
      </c>
      <c r="D88" s="9">
        <v>16.425353802472401</v>
      </c>
      <c r="E88" s="9">
        <v>55.594113380443098</v>
      </c>
      <c r="F88" s="10">
        <v>0.28000000000000003</v>
      </c>
      <c r="G88" s="8" t="s">
        <v>15</v>
      </c>
      <c r="H88" s="8" t="s">
        <v>139</v>
      </c>
      <c r="I88" s="8" t="s">
        <v>140</v>
      </c>
      <c r="J88" s="12">
        <v>32.99</v>
      </c>
    </row>
    <row r="89" spans="1:11" x14ac:dyDescent="0.3">
      <c r="A89" s="20" t="s">
        <v>313</v>
      </c>
      <c r="B89" s="25">
        <v>60.75</v>
      </c>
      <c r="C89" s="20">
        <v>366000</v>
      </c>
      <c r="D89" s="25">
        <v>16.48</v>
      </c>
      <c r="E89" s="25">
        <v>60.49</v>
      </c>
      <c r="F89" s="26">
        <v>0.247</v>
      </c>
      <c r="G89" s="20" t="s">
        <v>12</v>
      </c>
      <c r="H89" s="20" t="s">
        <v>148</v>
      </c>
      <c r="I89" s="20" t="s">
        <v>149</v>
      </c>
      <c r="J89" s="23">
        <v>123.533</v>
      </c>
    </row>
    <row r="90" spans="1:11" x14ac:dyDescent="0.3">
      <c r="A90" s="20" t="s">
        <v>314</v>
      </c>
      <c r="B90" s="25">
        <v>122.33</v>
      </c>
      <c r="C90" s="20">
        <v>380000</v>
      </c>
      <c r="D90" s="25">
        <v>20.66</v>
      </c>
      <c r="E90" s="25">
        <v>59.03</v>
      </c>
      <c r="F90" s="26">
        <v>0.25600000000000001</v>
      </c>
      <c r="G90" s="20" t="s">
        <v>12</v>
      </c>
      <c r="H90" s="20" t="s">
        <v>150</v>
      </c>
      <c r="I90" s="20" t="s">
        <v>151</v>
      </c>
      <c r="J90" s="23">
        <v>303.62599999999998</v>
      </c>
    </row>
    <row r="91" spans="1:11" x14ac:dyDescent="0.3">
      <c r="A91" s="27" t="s">
        <v>315</v>
      </c>
      <c r="B91" s="27">
        <v>87.9</v>
      </c>
      <c r="C91" s="27">
        <v>397851</v>
      </c>
      <c r="D91" s="28">
        <v>24.7642315997665</v>
      </c>
      <c r="E91" s="28">
        <v>185.777772312781</v>
      </c>
      <c r="F91" s="29">
        <v>1.149</v>
      </c>
      <c r="G91" s="27" t="s">
        <v>12</v>
      </c>
      <c r="H91" s="27" t="s">
        <v>200</v>
      </c>
      <c r="I91" s="27" t="s">
        <v>201</v>
      </c>
      <c r="J91" s="30">
        <v>45.87</v>
      </c>
    </row>
    <row r="92" spans="1:11" x14ac:dyDescent="0.3">
      <c r="A92" s="27" t="s">
        <v>316</v>
      </c>
      <c r="B92" s="31">
        <v>50.86</v>
      </c>
      <c r="C92" s="27">
        <v>549000</v>
      </c>
      <c r="D92" s="31">
        <v>25.71</v>
      </c>
      <c r="E92" s="31">
        <v>78.37</v>
      </c>
      <c r="F92" s="33">
        <v>0.36199999999999999</v>
      </c>
      <c r="G92" s="27" t="s">
        <v>12</v>
      </c>
      <c r="H92" s="27" t="s">
        <v>152</v>
      </c>
      <c r="I92" s="27" t="s">
        <v>202</v>
      </c>
      <c r="J92" s="30">
        <v>76.052999999999997</v>
      </c>
      <c r="K92" s="27"/>
    </row>
    <row r="93" spans="1:11" x14ac:dyDescent="0.3">
      <c r="A93" s="16" t="s">
        <v>317</v>
      </c>
      <c r="B93" s="16">
        <v>81.010000000000005</v>
      </c>
      <c r="C93" s="16">
        <v>583992</v>
      </c>
      <c r="D93" s="17">
        <v>1.6398365824788199</v>
      </c>
      <c r="E93" s="17">
        <v>54.1273109904743</v>
      </c>
      <c r="F93" s="18">
        <v>3.3000000000000002E-2</v>
      </c>
      <c r="G93" s="16" t="s">
        <v>15</v>
      </c>
      <c r="H93" s="16" t="s">
        <v>141</v>
      </c>
      <c r="I93" s="16" t="s">
        <v>142</v>
      </c>
      <c r="J93" s="19">
        <v>18.059999999999999</v>
      </c>
    </row>
    <row r="94" spans="1:11" x14ac:dyDescent="0.3">
      <c r="A94" s="8" t="s">
        <v>318</v>
      </c>
      <c r="B94" s="8">
        <v>89.36</v>
      </c>
      <c r="C94" s="8">
        <v>679331</v>
      </c>
      <c r="D94" s="9">
        <v>8.4912742332242601</v>
      </c>
      <c r="E94" s="9">
        <v>30.096480585692198</v>
      </c>
      <c r="F94" s="10">
        <v>9.9000000000000005E-2</v>
      </c>
      <c r="G94" s="8" t="s">
        <v>15</v>
      </c>
      <c r="H94" s="8" t="s">
        <v>143</v>
      </c>
      <c r="I94" s="8" t="s">
        <v>144</v>
      </c>
      <c r="J94" s="12">
        <v>45.21</v>
      </c>
    </row>
    <row r="95" spans="1:11" x14ac:dyDescent="0.3">
      <c r="A95" s="27" t="s">
        <v>319</v>
      </c>
      <c r="B95" s="31">
        <v>49.92</v>
      </c>
      <c r="C95" s="27">
        <v>700000</v>
      </c>
      <c r="D95" s="31">
        <v>49.45</v>
      </c>
      <c r="E95" s="31">
        <v>111.97</v>
      </c>
      <c r="F95" s="33">
        <v>0.747</v>
      </c>
      <c r="G95" s="27" t="s">
        <v>12</v>
      </c>
      <c r="H95" s="27" t="s">
        <v>145</v>
      </c>
      <c r="I95" s="27" t="s">
        <v>57</v>
      </c>
      <c r="J95" s="30">
        <v>19.513999999999999</v>
      </c>
    </row>
    <row r="96" spans="1:11" x14ac:dyDescent="0.3">
      <c r="A96" s="27" t="s">
        <v>320</v>
      </c>
      <c r="B96" s="31">
        <v>15.61</v>
      </c>
      <c r="C96" s="27">
        <v>712000</v>
      </c>
      <c r="D96" s="31">
        <v>64.73</v>
      </c>
      <c r="E96" s="31">
        <v>119.62</v>
      </c>
      <c r="F96" s="33">
        <v>0.92100000000000004</v>
      </c>
      <c r="G96" s="27" t="s">
        <v>12</v>
      </c>
      <c r="H96" s="27" t="s">
        <v>146</v>
      </c>
      <c r="I96" s="27" t="s">
        <v>147</v>
      </c>
      <c r="J96" s="30">
        <v>5.8040000000000003</v>
      </c>
    </row>
    <row r="97" spans="1:10" x14ac:dyDescent="0.3">
      <c r="A97" s="8" t="s">
        <v>321</v>
      </c>
      <c r="B97" s="11">
        <v>122.84</v>
      </c>
      <c r="C97" s="8">
        <v>1020000</v>
      </c>
      <c r="D97" s="11">
        <v>14.62</v>
      </c>
      <c r="E97" s="11">
        <v>49.32</v>
      </c>
      <c r="F97" s="15">
        <v>0.248</v>
      </c>
      <c r="G97" s="8" t="s">
        <v>12</v>
      </c>
      <c r="H97" s="8" t="s">
        <v>153</v>
      </c>
      <c r="I97" s="8" t="s">
        <v>203</v>
      </c>
      <c r="J97" s="12">
        <v>979.05499999999995</v>
      </c>
    </row>
    <row r="98" spans="1:10" x14ac:dyDescent="0.3">
      <c r="A98" s="20" t="s">
        <v>322</v>
      </c>
      <c r="B98" s="25">
        <v>14.01</v>
      </c>
      <c r="C98" s="20">
        <v>1290000</v>
      </c>
      <c r="D98" s="25">
        <v>22.53</v>
      </c>
      <c r="E98" s="25">
        <v>68.25</v>
      </c>
      <c r="F98" s="26">
        <v>0.27800000000000002</v>
      </c>
      <c r="G98" s="20" t="s">
        <v>12</v>
      </c>
      <c r="H98" s="20" t="s">
        <v>154</v>
      </c>
      <c r="I98" s="20" t="s">
        <v>155</v>
      </c>
      <c r="J98" s="23">
        <v>55.893000000000001</v>
      </c>
    </row>
    <row r="99" spans="1:10" x14ac:dyDescent="0.3">
      <c r="A99" s="27" t="s">
        <v>323</v>
      </c>
      <c r="B99" s="31">
        <v>8</v>
      </c>
      <c r="C99" s="27">
        <v>1740000</v>
      </c>
      <c r="D99" s="31">
        <v>56.68</v>
      </c>
      <c r="E99" s="31">
        <v>130.19</v>
      </c>
      <c r="F99" s="33">
        <v>0.97499999999999998</v>
      </c>
      <c r="G99" s="27" t="s">
        <v>12</v>
      </c>
      <c r="H99" s="27" t="s">
        <v>204</v>
      </c>
      <c r="I99" s="27" t="s">
        <v>21</v>
      </c>
      <c r="J99" s="30">
        <v>3.0219999999999998</v>
      </c>
    </row>
    <row r="100" spans="1:10" x14ac:dyDescent="0.3">
      <c r="A100" s="8" t="s">
        <v>324</v>
      </c>
      <c r="B100" s="8">
        <v>264.47000000000003</v>
      </c>
      <c r="C100" s="8">
        <v>1923789</v>
      </c>
      <c r="D100" s="9">
        <v>16.2681953475266</v>
      </c>
      <c r="E100" s="9">
        <v>55.967162351003601</v>
      </c>
      <c r="F100" s="10">
        <v>0.23100000000000001</v>
      </c>
      <c r="G100" s="8" t="s">
        <v>15</v>
      </c>
      <c r="H100" s="8" t="s">
        <v>156</v>
      </c>
      <c r="I100" s="8" t="s">
        <v>157</v>
      </c>
      <c r="J100" s="12">
        <v>73.89</v>
      </c>
    </row>
    <row r="101" spans="1:10" x14ac:dyDescent="0.3">
      <c r="A101" s="8" t="s">
        <v>325</v>
      </c>
      <c r="B101" s="11">
        <v>26.62</v>
      </c>
      <c r="C101" s="8">
        <v>2330000</v>
      </c>
      <c r="D101" s="11">
        <v>16.04</v>
      </c>
      <c r="E101" s="11">
        <v>54.9</v>
      </c>
      <c r="F101" s="15">
        <v>0.22700000000000001</v>
      </c>
      <c r="G101" s="8" t="s">
        <v>12</v>
      </c>
      <c r="H101" s="8" t="s">
        <v>158</v>
      </c>
      <c r="I101" s="8" t="s">
        <v>159</v>
      </c>
      <c r="J101" s="12">
        <v>151.35400000000001</v>
      </c>
    </row>
    <row r="102" spans="1:10" x14ac:dyDescent="0.3">
      <c r="A102" s="27" t="s">
        <v>326</v>
      </c>
      <c r="B102" s="31">
        <v>199.9</v>
      </c>
      <c r="C102" s="27">
        <v>2450000</v>
      </c>
      <c r="D102" s="31">
        <v>36</v>
      </c>
      <c r="E102" s="31">
        <v>91.12</v>
      </c>
      <c r="F102" s="33">
        <v>0.55100000000000005</v>
      </c>
      <c r="G102" s="27" t="s">
        <v>12</v>
      </c>
      <c r="H102" s="27" t="s">
        <v>160</v>
      </c>
      <c r="I102" s="27" t="s">
        <v>161</v>
      </c>
      <c r="J102" s="30">
        <v>325.91899999999998</v>
      </c>
    </row>
    <row r="103" spans="1:10" x14ac:dyDescent="0.3">
      <c r="A103" s="27" t="s">
        <v>327</v>
      </c>
      <c r="B103" s="31">
        <v>134.55000000000001</v>
      </c>
      <c r="C103" s="27">
        <v>3090000</v>
      </c>
      <c r="D103" s="31">
        <v>33.049999999999997</v>
      </c>
      <c r="E103" s="31">
        <v>116.15</v>
      </c>
      <c r="F103" s="33">
        <v>0.51800000000000002</v>
      </c>
      <c r="G103" s="27" t="s">
        <v>12</v>
      </c>
      <c r="H103" s="27" t="s">
        <v>163</v>
      </c>
      <c r="I103" s="27" t="s">
        <v>164</v>
      </c>
      <c r="J103" s="30">
        <v>321.66500000000002</v>
      </c>
    </row>
    <row r="104" spans="1:10" x14ac:dyDescent="0.3">
      <c r="A104" s="27" t="s">
        <v>328</v>
      </c>
      <c r="B104" s="31">
        <v>264.39999999999998</v>
      </c>
      <c r="C104" s="27">
        <v>3750000</v>
      </c>
      <c r="D104" s="31">
        <v>16.739999999999998</v>
      </c>
      <c r="E104" s="31">
        <v>66.98</v>
      </c>
      <c r="F104" s="33">
        <v>0.247</v>
      </c>
      <c r="G104" s="27" t="s">
        <v>12</v>
      </c>
      <c r="H104" s="27" t="s">
        <v>205</v>
      </c>
      <c r="I104" s="27" t="s">
        <v>206</v>
      </c>
      <c r="J104" s="30">
        <v>3887.3939999999998</v>
      </c>
    </row>
    <row r="105" spans="1:10" x14ac:dyDescent="0.3">
      <c r="A105" s="20" t="s">
        <v>329</v>
      </c>
      <c r="B105" s="25">
        <v>210.05</v>
      </c>
      <c r="C105" s="20">
        <v>4340000</v>
      </c>
      <c r="D105" s="25">
        <v>22.63</v>
      </c>
      <c r="E105" s="25">
        <v>68.92</v>
      </c>
      <c r="F105" s="26">
        <v>0.314</v>
      </c>
      <c r="G105" s="20" t="s">
        <v>12</v>
      </c>
      <c r="H105" s="20" t="s">
        <v>207</v>
      </c>
      <c r="I105" s="20" t="s">
        <v>208</v>
      </c>
      <c r="J105" s="23">
        <v>2254.87</v>
      </c>
    </row>
    <row r="106" spans="1:10" x14ac:dyDescent="0.3">
      <c r="A106" s="27" t="s">
        <v>330</v>
      </c>
      <c r="B106" s="31">
        <v>44.01</v>
      </c>
      <c r="C106" s="27">
        <v>4550000</v>
      </c>
      <c r="D106" s="31">
        <v>36.86</v>
      </c>
      <c r="E106" s="31">
        <v>95.14</v>
      </c>
      <c r="F106" s="33">
        <v>0.56999999999999995</v>
      </c>
      <c r="G106" s="27" t="s">
        <v>12</v>
      </c>
      <c r="H106" s="27" t="s">
        <v>209</v>
      </c>
      <c r="I106" s="27" t="s">
        <v>161</v>
      </c>
      <c r="J106" s="30">
        <v>219.83</v>
      </c>
    </row>
    <row r="107" spans="1:10" x14ac:dyDescent="0.3">
      <c r="A107" s="8" t="s">
        <v>331</v>
      </c>
      <c r="B107" s="11">
        <v>470.49</v>
      </c>
      <c r="C107" s="8">
        <v>4850000</v>
      </c>
      <c r="D107" s="11">
        <v>13.29</v>
      </c>
      <c r="E107" s="11">
        <v>50.66</v>
      </c>
      <c r="F107" s="15">
        <v>0.32</v>
      </c>
      <c r="G107" s="8" t="s">
        <v>15</v>
      </c>
      <c r="H107" s="8" t="s">
        <v>210</v>
      </c>
      <c r="I107" s="8" t="s">
        <v>211</v>
      </c>
      <c r="J107" s="12">
        <v>174.07</v>
      </c>
    </row>
    <row r="108" spans="1:10" x14ac:dyDescent="0.3">
      <c r="A108" s="8" t="s">
        <v>332</v>
      </c>
      <c r="B108" s="8">
        <v>608.75</v>
      </c>
      <c r="C108" s="8">
        <v>7750000</v>
      </c>
      <c r="D108" s="8">
        <v>14.28</v>
      </c>
      <c r="E108" s="8">
        <v>51.3</v>
      </c>
      <c r="F108" s="10">
        <v>0.21199999999999999</v>
      </c>
      <c r="G108" s="8" t="s">
        <v>15</v>
      </c>
      <c r="H108" s="8" t="s">
        <v>212</v>
      </c>
      <c r="I108" s="8" t="s">
        <v>213</v>
      </c>
      <c r="J108" s="12">
        <v>411.78</v>
      </c>
    </row>
    <row r="109" spans="1:10" x14ac:dyDescent="0.3">
      <c r="A109" s="27" t="s">
        <v>333</v>
      </c>
      <c r="B109" s="31">
        <v>190</v>
      </c>
      <c r="C109" s="27">
        <v>12400000</v>
      </c>
      <c r="D109" s="31">
        <v>30.48</v>
      </c>
      <c r="E109" s="31">
        <v>91.3</v>
      </c>
      <c r="F109" s="33">
        <v>0.48499999999999999</v>
      </c>
      <c r="G109" s="27" t="s">
        <v>12</v>
      </c>
      <c r="H109" s="27" t="s">
        <v>162</v>
      </c>
      <c r="I109" s="27" t="s">
        <v>161</v>
      </c>
      <c r="J109" s="30">
        <v>4617</v>
      </c>
    </row>
    <row r="110" spans="1:10" x14ac:dyDescent="0.3">
      <c r="A110" s="8" t="s">
        <v>334</v>
      </c>
      <c r="B110" s="11">
        <v>689.59</v>
      </c>
      <c r="C110" s="8">
        <v>12800000</v>
      </c>
      <c r="D110" s="11">
        <v>10.52</v>
      </c>
      <c r="E110" s="11">
        <v>46.27</v>
      </c>
      <c r="F110" s="15">
        <v>0.154</v>
      </c>
      <c r="G110" s="8" t="s">
        <v>15</v>
      </c>
      <c r="H110" s="8" t="s">
        <v>214</v>
      </c>
      <c r="I110" s="8" t="s">
        <v>62</v>
      </c>
      <c r="J110" s="12">
        <v>708.92</v>
      </c>
    </row>
    <row r="111" spans="1:10" x14ac:dyDescent="0.3">
      <c r="A111" s="20" t="s">
        <v>335</v>
      </c>
      <c r="B111" s="25">
        <v>315.26</v>
      </c>
      <c r="C111" s="20">
        <v>1310000</v>
      </c>
      <c r="D111" s="25">
        <v>24.24</v>
      </c>
      <c r="E111" s="25">
        <v>62.01</v>
      </c>
      <c r="F111" s="26">
        <v>0.309</v>
      </c>
      <c r="G111" s="20" t="s">
        <v>12</v>
      </c>
      <c r="H111" s="20" t="s">
        <v>215</v>
      </c>
      <c r="I111" s="20" t="s">
        <v>216</v>
      </c>
      <c r="J111" s="23">
        <v>3817.72</v>
      </c>
    </row>
    <row r="112" spans="1:10" x14ac:dyDescent="0.3">
      <c r="A112" s="27" t="s">
        <v>336</v>
      </c>
      <c r="B112" s="31">
        <v>53</v>
      </c>
      <c r="C112" s="27">
        <v>1750000</v>
      </c>
      <c r="D112" s="31">
        <v>17.940000000000001</v>
      </c>
      <c r="E112" s="31">
        <v>67.67</v>
      </c>
      <c r="F112" s="33">
        <v>0.26500000000000001</v>
      </c>
      <c r="G112" s="27" t="s">
        <v>12</v>
      </c>
      <c r="H112" s="27" t="s">
        <v>420</v>
      </c>
      <c r="I112" s="27" t="s">
        <v>218</v>
      </c>
      <c r="J112" s="30">
        <v>382.26100000000002</v>
      </c>
    </row>
    <row r="113" spans="1:10" x14ac:dyDescent="0.3">
      <c r="A113" s="27" t="s">
        <v>337</v>
      </c>
      <c r="B113" s="31">
        <v>28.76</v>
      </c>
      <c r="C113" s="27">
        <v>1430000</v>
      </c>
      <c r="D113" s="31">
        <v>15.91</v>
      </c>
      <c r="E113" s="31">
        <v>113.88</v>
      </c>
      <c r="F113" s="33">
        <v>0.35199999999999998</v>
      </c>
      <c r="G113" s="27" t="s">
        <v>12</v>
      </c>
      <c r="H113" s="27" t="s">
        <v>421</v>
      </c>
      <c r="I113" s="27" t="s">
        <v>219</v>
      </c>
      <c r="J113" s="30">
        <v>71.346000000000004</v>
      </c>
    </row>
    <row r="114" spans="1:10" x14ac:dyDescent="0.3">
      <c r="A114" s="20" t="s">
        <v>338</v>
      </c>
      <c r="B114" s="25">
        <v>41.56</v>
      </c>
      <c r="C114" s="20">
        <v>1480000</v>
      </c>
      <c r="D114" s="25">
        <v>25.89</v>
      </c>
      <c r="E114" s="25">
        <v>72.150000000000006</v>
      </c>
      <c r="F114" s="26">
        <v>0.36899999999999999</v>
      </c>
      <c r="G114" s="20" t="s">
        <v>12</v>
      </c>
      <c r="H114" s="20"/>
      <c r="I114" s="20" t="s">
        <v>220</v>
      </c>
      <c r="J114" s="23">
        <v>38.262999999999998</v>
      </c>
    </row>
    <row r="115" spans="1:10" x14ac:dyDescent="0.3">
      <c r="A115" s="27" t="s">
        <v>339</v>
      </c>
      <c r="B115" s="31">
        <v>149</v>
      </c>
      <c r="C115" s="27">
        <v>439000</v>
      </c>
      <c r="D115" s="31">
        <v>10.63</v>
      </c>
      <c r="E115" s="31">
        <v>95.64</v>
      </c>
      <c r="F115" s="33">
        <v>0.39</v>
      </c>
      <c r="G115" s="27" t="s">
        <v>12</v>
      </c>
      <c r="H115" s="27" t="s">
        <v>423</v>
      </c>
      <c r="I115" s="27" t="s">
        <v>216</v>
      </c>
      <c r="J115" s="30">
        <v>121.584</v>
      </c>
    </row>
    <row r="116" spans="1:10" x14ac:dyDescent="0.3">
      <c r="A116" s="27" t="s">
        <v>340</v>
      </c>
      <c r="B116" s="31">
        <v>78.58</v>
      </c>
      <c r="C116" s="27">
        <v>3590000</v>
      </c>
      <c r="D116" s="31">
        <v>23.99</v>
      </c>
      <c r="E116" s="31">
        <v>72.900000000000006</v>
      </c>
      <c r="F116" s="33">
        <v>0.39400000000000002</v>
      </c>
      <c r="G116" s="27" t="s">
        <v>12</v>
      </c>
      <c r="H116" s="27" t="s">
        <v>424</v>
      </c>
      <c r="I116" s="27" t="s">
        <v>216</v>
      </c>
      <c r="J116" s="30">
        <v>331.77800000000002</v>
      </c>
    </row>
    <row r="117" spans="1:10" x14ac:dyDescent="0.3">
      <c r="A117" s="27" t="s">
        <v>341</v>
      </c>
      <c r="B117" s="31">
        <v>7.72</v>
      </c>
      <c r="C117" s="27">
        <v>601000</v>
      </c>
      <c r="D117" s="31">
        <v>13.83</v>
      </c>
      <c r="E117" s="31">
        <v>146.36000000000001</v>
      </c>
      <c r="F117" s="33">
        <v>0.41399999999999998</v>
      </c>
      <c r="G117" s="27" t="s">
        <v>12</v>
      </c>
      <c r="H117" s="27" t="s">
        <v>425</v>
      </c>
      <c r="I117" s="27" t="s">
        <v>193</v>
      </c>
      <c r="J117" s="30">
        <v>43.639000000000003</v>
      </c>
    </row>
    <row r="118" spans="1:10" x14ac:dyDescent="0.3">
      <c r="A118" s="20" t="s">
        <v>342</v>
      </c>
      <c r="B118" s="25">
        <v>65.349999999999994</v>
      </c>
      <c r="C118" s="20">
        <v>889000</v>
      </c>
      <c r="D118" s="25">
        <v>24.32</v>
      </c>
      <c r="E118" s="25">
        <v>70.790000000000006</v>
      </c>
      <c r="F118" s="26">
        <v>0.45100000000000001</v>
      </c>
      <c r="G118" s="20" t="s">
        <v>12</v>
      </c>
      <c r="H118" s="20" t="s">
        <v>426</v>
      </c>
      <c r="I118" s="20" t="s">
        <v>222</v>
      </c>
      <c r="J118" s="23">
        <v>96.742999999999995</v>
      </c>
    </row>
    <row r="119" spans="1:10" x14ac:dyDescent="0.3">
      <c r="A119" s="27" t="s">
        <v>343</v>
      </c>
      <c r="B119" s="31">
        <v>23.41</v>
      </c>
      <c r="C119" s="27">
        <v>950000</v>
      </c>
      <c r="D119" s="31">
        <v>33.07</v>
      </c>
      <c r="E119" s="31">
        <v>130.38999999999999</v>
      </c>
      <c r="F119" s="33">
        <v>0.46600000000000003</v>
      </c>
      <c r="G119" s="27" t="s">
        <v>12</v>
      </c>
      <c r="H119" s="27" t="s">
        <v>427</v>
      </c>
      <c r="I119" s="27" t="s">
        <v>221</v>
      </c>
      <c r="J119" s="30">
        <v>10.488</v>
      </c>
    </row>
    <row r="120" spans="1:10" x14ac:dyDescent="0.3">
      <c r="A120" s="27" t="s">
        <v>344</v>
      </c>
      <c r="B120" s="31">
        <v>154.54</v>
      </c>
      <c r="C120" s="27">
        <v>1440000</v>
      </c>
      <c r="D120" s="31">
        <v>29.89</v>
      </c>
      <c r="E120" s="31">
        <v>82.34</v>
      </c>
      <c r="F120" s="33">
        <v>0.46200000000000002</v>
      </c>
      <c r="G120" s="27" t="s">
        <v>12</v>
      </c>
      <c r="H120" s="27" t="s">
        <v>431</v>
      </c>
      <c r="I120" s="27" t="s">
        <v>216</v>
      </c>
      <c r="J120" s="30">
        <v>369.11799999999999</v>
      </c>
    </row>
    <row r="121" spans="1:10" x14ac:dyDescent="0.3">
      <c r="A121" s="27" t="s">
        <v>345</v>
      </c>
      <c r="B121" s="31">
        <v>38.479999999999997</v>
      </c>
      <c r="C121" s="27">
        <v>5720000</v>
      </c>
      <c r="D121" s="31">
        <v>28.36</v>
      </c>
      <c r="E121" s="31">
        <v>102.07</v>
      </c>
      <c r="F121" s="33">
        <v>0.48599999999999999</v>
      </c>
      <c r="G121" s="27" t="s">
        <v>15</v>
      </c>
      <c r="H121" s="27" t="s">
        <v>432</v>
      </c>
      <c r="I121" s="27" t="s">
        <v>223</v>
      </c>
    </row>
    <row r="122" spans="1:10" x14ac:dyDescent="0.3">
      <c r="A122" s="27" t="s">
        <v>346</v>
      </c>
      <c r="B122" s="31">
        <v>80.900000000000006</v>
      </c>
      <c r="C122" s="27">
        <v>507000</v>
      </c>
      <c r="D122" s="31">
        <v>21.33</v>
      </c>
      <c r="E122" s="31">
        <v>69.88</v>
      </c>
      <c r="F122" s="33">
        <v>0.51200000000000001</v>
      </c>
      <c r="G122" s="27" t="s">
        <v>15</v>
      </c>
      <c r="H122" s="27" t="s">
        <v>433</v>
      </c>
      <c r="I122" s="27" t="s">
        <v>405</v>
      </c>
      <c r="J122" s="30">
        <v>1.04</v>
      </c>
    </row>
    <row r="123" spans="1:10" x14ac:dyDescent="0.3">
      <c r="A123" s="27" t="s">
        <v>347</v>
      </c>
      <c r="B123" s="31">
        <v>13.56</v>
      </c>
      <c r="C123" s="27">
        <v>1270000</v>
      </c>
      <c r="D123" s="31">
        <v>34.64</v>
      </c>
      <c r="E123" s="31">
        <v>93.86</v>
      </c>
      <c r="F123" s="33">
        <v>0.52800000000000002</v>
      </c>
      <c r="G123" s="27" t="s">
        <v>12</v>
      </c>
      <c r="H123" s="27" t="s">
        <v>440</v>
      </c>
      <c r="I123" s="27" t="s">
        <v>224</v>
      </c>
      <c r="J123" s="30">
        <v>8.9540000000000006</v>
      </c>
    </row>
    <row r="124" spans="1:10" x14ac:dyDescent="0.3">
      <c r="A124" s="27" t="s">
        <v>348</v>
      </c>
      <c r="B124" s="31">
        <v>18.91</v>
      </c>
      <c r="C124" s="27">
        <v>3570000</v>
      </c>
      <c r="D124" s="31">
        <v>26.56</v>
      </c>
      <c r="E124" s="31">
        <v>136.93</v>
      </c>
      <c r="F124" s="33">
        <v>0.58499999999999996</v>
      </c>
      <c r="G124" s="27" t="s">
        <v>12</v>
      </c>
      <c r="H124" s="27" t="s">
        <v>442</v>
      </c>
      <c r="I124" s="27" t="s">
        <v>225</v>
      </c>
      <c r="J124" s="30">
        <v>24.114999999999998</v>
      </c>
    </row>
    <row r="125" spans="1:10" x14ac:dyDescent="0.3">
      <c r="A125" s="27" t="s">
        <v>349</v>
      </c>
      <c r="B125" s="31">
        <v>5.13</v>
      </c>
      <c r="C125" s="27">
        <v>1550000</v>
      </c>
      <c r="D125" s="31">
        <v>37.32</v>
      </c>
      <c r="E125" s="31">
        <v>130.81</v>
      </c>
      <c r="F125" s="33">
        <v>0.58699999999999997</v>
      </c>
      <c r="G125" s="27" t="s">
        <v>12</v>
      </c>
      <c r="H125" s="27" t="s">
        <v>443</v>
      </c>
      <c r="I125" s="27" t="s">
        <v>216</v>
      </c>
      <c r="J125" s="30">
        <v>8.6639999999999997</v>
      </c>
    </row>
    <row r="126" spans="1:10" x14ac:dyDescent="0.3">
      <c r="A126" s="27" t="s">
        <v>350</v>
      </c>
      <c r="B126" s="31">
        <v>5.07</v>
      </c>
      <c r="C126" s="27">
        <v>2420000</v>
      </c>
      <c r="D126" s="31">
        <v>40.57</v>
      </c>
      <c r="E126" s="31">
        <v>111.98</v>
      </c>
      <c r="F126" s="33">
        <v>0.63500000000000001</v>
      </c>
      <c r="G126" s="27" t="s">
        <v>12</v>
      </c>
      <c r="H126" s="27" t="s">
        <v>448</v>
      </c>
      <c r="I126" s="27" t="s">
        <v>155</v>
      </c>
      <c r="J126" s="30">
        <v>12.401999999999999</v>
      </c>
    </row>
    <row r="127" spans="1:10" x14ac:dyDescent="0.3">
      <c r="A127" s="27" t="s">
        <v>351</v>
      </c>
      <c r="B127" s="31">
        <v>75.95</v>
      </c>
      <c r="C127" s="27">
        <v>1470000</v>
      </c>
      <c r="D127" s="31">
        <v>37.94</v>
      </c>
      <c r="E127" s="31">
        <v>148.09</v>
      </c>
      <c r="F127" s="33">
        <v>0.64100000000000001</v>
      </c>
      <c r="G127" s="27" t="s">
        <v>12</v>
      </c>
      <c r="H127" s="27" t="s">
        <v>449</v>
      </c>
      <c r="I127" s="27" t="s">
        <v>216</v>
      </c>
      <c r="J127" s="30">
        <v>68.378</v>
      </c>
    </row>
    <row r="128" spans="1:10" x14ac:dyDescent="0.3">
      <c r="A128" s="27" t="s">
        <v>352</v>
      </c>
      <c r="B128" s="31">
        <v>10.85</v>
      </c>
      <c r="C128" s="27">
        <v>759000</v>
      </c>
      <c r="D128" s="31">
        <v>28.96</v>
      </c>
      <c r="E128" s="31">
        <v>97.266000000000005</v>
      </c>
      <c r="F128" s="33">
        <v>0.64200000000000002</v>
      </c>
      <c r="G128" s="27" t="s">
        <v>12</v>
      </c>
      <c r="H128" s="27" t="s">
        <v>450</v>
      </c>
      <c r="I128" s="27" t="s">
        <v>225</v>
      </c>
      <c r="J128" s="30">
        <v>16.922000000000001</v>
      </c>
    </row>
    <row r="129" spans="1:10" x14ac:dyDescent="0.3">
      <c r="A129" s="27" t="s">
        <v>353</v>
      </c>
      <c r="B129" s="31">
        <v>171.09</v>
      </c>
      <c r="C129" s="27">
        <v>822000</v>
      </c>
      <c r="D129" s="31">
        <v>28.33</v>
      </c>
      <c r="E129" s="31">
        <v>111.38</v>
      </c>
      <c r="F129" s="33">
        <v>0.64900000000000002</v>
      </c>
      <c r="G129" s="27" t="s">
        <v>12</v>
      </c>
      <c r="H129" s="27" t="s">
        <v>457</v>
      </c>
      <c r="I129" s="27" t="s">
        <v>225</v>
      </c>
      <c r="J129" s="30">
        <v>45.180999999999997</v>
      </c>
    </row>
    <row r="130" spans="1:10" x14ac:dyDescent="0.3">
      <c r="A130" s="27" t="s">
        <v>354</v>
      </c>
      <c r="B130" s="31">
        <v>14.81</v>
      </c>
      <c r="C130" s="27">
        <v>1160000</v>
      </c>
      <c r="D130" s="31">
        <v>33.69</v>
      </c>
      <c r="E130" s="31">
        <v>486.62</v>
      </c>
      <c r="F130" s="33">
        <v>0.66500000000000004</v>
      </c>
      <c r="G130" s="27" t="s">
        <v>15</v>
      </c>
      <c r="H130" s="27" t="s">
        <v>458</v>
      </c>
      <c r="I130" s="27" t="s">
        <v>223</v>
      </c>
      <c r="J130" s="30">
        <v>9.14</v>
      </c>
    </row>
    <row r="131" spans="1:10" x14ac:dyDescent="0.3">
      <c r="A131" s="34" t="s">
        <v>355</v>
      </c>
      <c r="B131" s="35">
        <v>32.28</v>
      </c>
      <c r="C131" s="34">
        <v>1550000</v>
      </c>
      <c r="D131" s="35">
        <v>40.6</v>
      </c>
      <c r="E131" s="35">
        <v>166.51</v>
      </c>
      <c r="F131" s="36">
        <v>0.68600000000000005</v>
      </c>
      <c r="G131" s="34" t="s">
        <v>12</v>
      </c>
      <c r="H131" s="34" t="s">
        <v>459</v>
      </c>
      <c r="I131" s="34" t="s">
        <v>206</v>
      </c>
      <c r="J131" s="37">
        <v>19.335000000000001</v>
      </c>
    </row>
    <row r="132" spans="1:10" x14ac:dyDescent="0.3">
      <c r="A132" s="34" t="s">
        <v>356</v>
      </c>
      <c r="B132" s="35">
        <v>147.62</v>
      </c>
      <c r="C132" s="34">
        <v>1920000</v>
      </c>
      <c r="D132" s="35">
        <v>43.18</v>
      </c>
      <c r="E132" s="35">
        <v>124.23</v>
      </c>
      <c r="F132" s="36">
        <v>0.77</v>
      </c>
      <c r="G132" s="34" t="s">
        <v>12</v>
      </c>
      <c r="H132" s="34" t="s">
        <v>467</v>
      </c>
      <c r="I132" s="34" t="s">
        <v>164</v>
      </c>
      <c r="J132" s="37">
        <v>424.13099999999997</v>
      </c>
    </row>
    <row r="133" spans="1:10" x14ac:dyDescent="0.3">
      <c r="A133" s="34" t="s">
        <v>357</v>
      </c>
      <c r="B133" s="35">
        <v>131</v>
      </c>
      <c r="C133" s="34">
        <v>1940000</v>
      </c>
      <c r="D133" s="35">
        <v>43.18</v>
      </c>
      <c r="E133" s="35">
        <v>124.23</v>
      </c>
      <c r="F133" s="36">
        <v>0.77</v>
      </c>
      <c r="G133" s="34" t="s">
        <v>226</v>
      </c>
      <c r="H133" s="34" t="s">
        <v>473</v>
      </c>
      <c r="I133" s="34" t="s">
        <v>164</v>
      </c>
      <c r="J133" s="37">
        <v>41.71</v>
      </c>
    </row>
  </sheetData>
  <autoFilter ref="A1:F110" xr:uid="{06976AFF-B883-4CE1-9BAF-04DB751D2AFD}">
    <sortState xmlns:xlrd2="http://schemas.microsoft.com/office/spreadsheetml/2017/richdata2" ref="A2:F110">
      <sortCondition ref="C1:C1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A640-6D97-49FB-9F3A-AFA569373EA5}">
  <sheetPr filterMode="1"/>
  <dimension ref="A1:Q29"/>
  <sheetViews>
    <sheetView workbookViewId="0">
      <selection sqref="A1:Q29"/>
    </sheetView>
  </sheetViews>
  <sheetFormatPr defaultRowHeight="14.4" x14ac:dyDescent="0.3"/>
  <cols>
    <col min="1" max="1" width="8.796875" style="1"/>
    <col min="2" max="2" width="8.796875" style="4"/>
    <col min="3" max="3" width="10.3984375" style="1" bestFit="1" customWidth="1"/>
    <col min="4" max="4" width="12.3984375" style="1" bestFit="1" customWidth="1"/>
    <col min="5" max="5" width="13" style="1" bestFit="1" customWidth="1"/>
    <col min="6" max="6" width="19.5" style="1" bestFit="1" customWidth="1"/>
    <col min="7" max="7" width="5.8984375" style="1" bestFit="1" customWidth="1"/>
    <col min="8" max="8" width="27.69921875" style="1" bestFit="1" customWidth="1"/>
    <col min="9" max="12" width="8.796875" style="1"/>
    <col min="13" max="13" width="14.09765625" style="1" bestFit="1" customWidth="1"/>
    <col min="14" max="14" width="13.59765625" style="1" bestFit="1" customWidth="1"/>
    <col min="15" max="16384" width="8.796875" style="1"/>
  </cols>
  <sheetData>
    <row r="1" spans="1:17" x14ac:dyDescent="0.3">
      <c r="A1" s="1" t="s">
        <v>217</v>
      </c>
      <c r="B1" s="4" t="s">
        <v>0</v>
      </c>
      <c r="C1" s="1" t="s">
        <v>1</v>
      </c>
      <c r="D1" s="4" t="s">
        <v>2</v>
      </c>
      <c r="E1" s="4" t="s">
        <v>3</v>
      </c>
      <c r="F1" s="5" t="s">
        <v>4</v>
      </c>
      <c r="G1" s="1" t="s">
        <v>5</v>
      </c>
      <c r="H1" s="1" t="s">
        <v>7</v>
      </c>
      <c r="I1" s="1" t="s">
        <v>9</v>
      </c>
      <c r="J1" s="6" t="s">
        <v>11</v>
      </c>
      <c r="K1" s="1" t="s">
        <v>358</v>
      </c>
      <c r="L1" s="1" t="s">
        <v>359</v>
      </c>
      <c r="M1" s="1" t="s">
        <v>360</v>
      </c>
      <c r="N1" s="1" t="s">
        <v>369</v>
      </c>
      <c r="O1" s="1" t="s">
        <v>387</v>
      </c>
      <c r="P1" s="1" t="s">
        <v>388</v>
      </c>
    </row>
    <row r="2" spans="1:17" hidden="1" x14ac:dyDescent="0.3">
      <c r="A2" s="8" t="s">
        <v>229</v>
      </c>
      <c r="B2" s="11">
        <v>52.85</v>
      </c>
      <c r="C2" s="8">
        <v>11009</v>
      </c>
      <c r="D2" s="9">
        <v>12.407515205871601</v>
      </c>
      <c r="E2" s="11">
        <v>48.042609776644298</v>
      </c>
      <c r="F2" s="10">
        <v>0.219</v>
      </c>
      <c r="G2" s="13" t="s">
        <v>15</v>
      </c>
      <c r="H2" s="8" t="s">
        <v>16</v>
      </c>
      <c r="I2" s="8" t="s">
        <v>17</v>
      </c>
      <c r="J2" s="12">
        <v>6.12</v>
      </c>
      <c r="K2" s="1" t="s">
        <v>361</v>
      </c>
      <c r="L2" s="1" t="s">
        <v>362</v>
      </c>
      <c r="M2" s="1" t="s">
        <v>17</v>
      </c>
      <c r="O2" s="1">
        <v>1</v>
      </c>
    </row>
    <row r="3" spans="1:17" hidden="1" x14ac:dyDescent="0.3">
      <c r="A3" s="8" t="s">
        <v>230</v>
      </c>
      <c r="B3" s="11">
        <v>108.69</v>
      </c>
      <c r="C3" s="8">
        <v>11400</v>
      </c>
      <c r="D3" s="11">
        <v>2.73</v>
      </c>
      <c r="E3" s="11">
        <v>18.12</v>
      </c>
      <c r="F3" s="10">
        <v>0.06</v>
      </c>
      <c r="G3" s="13" t="s">
        <v>15</v>
      </c>
      <c r="H3" s="8" t="s">
        <v>18</v>
      </c>
      <c r="I3" s="8" t="s">
        <v>19</v>
      </c>
      <c r="J3" s="12">
        <v>0.47199999999999998</v>
      </c>
      <c r="K3" s="1" t="s">
        <v>362</v>
      </c>
      <c r="L3" s="1" t="s">
        <v>362</v>
      </c>
      <c r="M3" s="1" t="s">
        <v>363</v>
      </c>
      <c r="N3" s="1" t="s">
        <v>280</v>
      </c>
      <c r="O3" s="1">
        <v>2</v>
      </c>
    </row>
    <row r="4" spans="1:17" hidden="1" x14ac:dyDescent="0.3">
      <c r="A4" s="8" t="s">
        <v>252</v>
      </c>
      <c r="B4" s="11">
        <v>178</v>
      </c>
      <c r="C4" s="8">
        <v>16999</v>
      </c>
      <c r="D4" s="9">
        <v>11.6439518466688</v>
      </c>
      <c r="E4" s="9">
        <v>53.797118712625704</v>
      </c>
      <c r="F4" s="10">
        <v>0.183</v>
      </c>
      <c r="G4" s="13" t="s">
        <v>15</v>
      </c>
      <c r="H4" s="8" t="s">
        <v>52</v>
      </c>
      <c r="I4" s="8" t="s">
        <v>53</v>
      </c>
      <c r="J4" s="12">
        <v>27.98</v>
      </c>
      <c r="K4" s="1" t="s">
        <v>362</v>
      </c>
      <c r="L4" s="1" t="s">
        <v>362</v>
      </c>
      <c r="M4" s="1" t="s">
        <v>364</v>
      </c>
      <c r="O4" s="1">
        <v>3</v>
      </c>
    </row>
    <row r="5" spans="1:17" hidden="1" x14ac:dyDescent="0.3">
      <c r="A5" s="8" t="s">
        <v>259</v>
      </c>
      <c r="B5" s="8">
        <v>112.21</v>
      </c>
      <c r="C5" s="8">
        <v>21916</v>
      </c>
      <c r="D5" s="9">
        <v>15.391923233072101</v>
      </c>
      <c r="E5" s="9">
        <v>46.688513924284102</v>
      </c>
      <c r="F5" s="10">
        <v>0.21</v>
      </c>
      <c r="G5" s="8" t="s">
        <v>12</v>
      </c>
      <c r="H5" s="8" t="s">
        <v>65</v>
      </c>
      <c r="I5" s="8" t="s">
        <v>177</v>
      </c>
      <c r="J5" s="12">
        <v>195.119</v>
      </c>
      <c r="K5" s="1" t="s">
        <v>362</v>
      </c>
      <c r="L5" s="1" t="s">
        <v>362</v>
      </c>
      <c r="M5" s="1" t="s">
        <v>149</v>
      </c>
      <c r="N5" s="1" t="s">
        <v>383</v>
      </c>
    </row>
    <row r="6" spans="1:17" hidden="1" x14ac:dyDescent="0.3">
      <c r="A6" s="8" t="s">
        <v>260</v>
      </c>
      <c r="B6" s="8">
        <v>11.46</v>
      </c>
      <c r="C6" s="8">
        <v>22046</v>
      </c>
      <c r="D6" s="9">
        <v>12.223370990884799</v>
      </c>
      <c r="E6" s="9">
        <v>57.638750778218203</v>
      </c>
      <c r="F6" s="10">
        <v>0.21299999999999999</v>
      </c>
      <c r="G6" s="8" t="s">
        <v>12</v>
      </c>
      <c r="H6" s="8" t="s">
        <v>66</v>
      </c>
      <c r="I6" s="8" t="s">
        <v>178</v>
      </c>
      <c r="J6" s="12">
        <v>12.693</v>
      </c>
      <c r="K6" s="1" t="s">
        <v>361</v>
      </c>
      <c r="L6" s="1" t="s">
        <v>362</v>
      </c>
      <c r="M6" s="1" t="s">
        <v>365</v>
      </c>
      <c r="N6" s="1" t="s">
        <v>300</v>
      </c>
    </row>
    <row r="7" spans="1:17" hidden="1" x14ac:dyDescent="0.3">
      <c r="A7" s="8" t="s">
        <v>263</v>
      </c>
      <c r="B7" s="8">
        <v>97.02</v>
      </c>
      <c r="C7" s="8">
        <v>23222</v>
      </c>
      <c r="D7" s="9">
        <v>4.0606989853845699</v>
      </c>
      <c r="E7" s="9">
        <v>15.437958547604399</v>
      </c>
      <c r="F7" s="10">
        <v>4.7E-2</v>
      </c>
      <c r="G7" s="13" t="s">
        <v>15</v>
      </c>
      <c r="H7" s="8" t="s">
        <v>69</v>
      </c>
      <c r="I7" s="8" t="s">
        <v>70</v>
      </c>
      <c r="J7" s="12">
        <v>46.84</v>
      </c>
      <c r="K7" s="1" t="s">
        <v>361</v>
      </c>
      <c r="L7" s="1" t="s">
        <v>362</v>
      </c>
      <c r="M7" s="1" t="s">
        <v>366</v>
      </c>
      <c r="N7" s="1" t="s">
        <v>318</v>
      </c>
      <c r="O7" s="1">
        <v>4</v>
      </c>
    </row>
    <row r="8" spans="1:17" hidden="1" x14ac:dyDescent="0.3">
      <c r="A8" s="8" t="s">
        <v>264</v>
      </c>
      <c r="B8" s="8">
        <v>165</v>
      </c>
      <c r="C8" s="8">
        <v>23962</v>
      </c>
      <c r="D8" s="9">
        <v>16.390428880024</v>
      </c>
      <c r="E8" s="9">
        <v>37.881339383973099</v>
      </c>
      <c r="F8" s="10">
        <v>0.19800000000000001</v>
      </c>
      <c r="G8" s="8" t="s">
        <v>12</v>
      </c>
      <c r="H8" s="8" t="s">
        <v>71</v>
      </c>
      <c r="I8" s="8" t="s">
        <v>180</v>
      </c>
      <c r="J8" s="12">
        <v>225.49700000000001</v>
      </c>
      <c r="K8" s="1" t="s">
        <v>362</v>
      </c>
      <c r="L8" s="1" t="s">
        <v>362</v>
      </c>
      <c r="M8" s="1" t="s">
        <v>367</v>
      </c>
      <c r="N8" s="1" t="s">
        <v>381</v>
      </c>
      <c r="O8" s="1">
        <v>5</v>
      </c>
    </row>
    <row r="9" spans="1:17" hidden="1" x14ac:dyDescent="0.3">
      <c r="A9" s="8" t="s">
        <v>269</v>
      </c>
      <c r="B9" s="8">
        <v>46.36</v>
      </c>
      <c r="C9" s="8">
        <v>27864</v>
      </c>
      <c r="D9" s="9">
        <v>11.3058248416992</v>
      </c>
      <c r="E9" s="9">
        <v>37.901975292517101</v>
      </c>
      <c r="F9" s="10">
        <v>0.17</v>
      </c>
      <c r="G9" s="13" t="s">
        <v>15</v>
      </c>
      <c r="H9" s="8" t="s">
        <v>74</v>
      </c>
      <c r="I9" s="8" t="s">
        <v>75</v>
      </c>
      <c r="J9" s="12">
        <v>22.2</v>
      </c>
      <c r="K9" s="1" t="s">
        <v>361</v>
      </c>
      <c r="L9" s="1" t="s">
        <v>362</v>
      </c>
      <c r="M9" s="1" t="s">
        <v>368</v>
      </c>
      <c r="O9" s="1">
        <v>6</v>
      </c>
    </row>
    <row r="10" spans="1:17" hidden="1" x14ac:dyDescent="0.3">
      <c r="A10" s="8" t="s">
        <v>272</v>
      </c>
      <c r="B10" s="8">
        <v>160.71</v>
      </c>
      <c r="C10" s="8">
        <v>29957</v>
      </c>
      <c r="D10" s="9">
        <v>14.271182575194</v>
      </c>
      <c r="E10" s="9">
        <v>55.922714868952802</v>
      </c>
      <c r="F10" s="10">
        <v>0.17799999999999999</v>
      </c>
      <c r="G10" s="8" t="s">
        <v>12</v>
      </c>
      <c r="H10" s="8" t="s">
        <v>78</v>
      </c>
      <c r="I10" s="8" t="s">
        <v>173</v>
      </c>
      <c r="J10" s="12">
        <v>373.49</v>
      </c>
      <c r="K10" s="1" t="s">
        <v>362</v>
      </c>
      <c r="L10" s="1" t="s">
        <v>362</v>
      </c>
      <c r="M10" s="1" t="s">
        <v>367</v>
      </c>
      <c r="N10" s="1" t="s">
        <v>380</v>
      </c>
      <c r="O10" s="1">
        <v>7</v>
      </c>
    </row>
    <row r="11" spans="1:17" hidden="1" x14ac:dyDescent="0.3">
      <c r="A11" s="8" t="s">
        <v>280</v>
      </c>
      <c r="B11" s="8">
        <v>91.7</v>
      </c>
      <c r="C11" s="8">
        <v>46358</v>
      </c>
      <c r="D11" s="9">
        <v>6.8006392083759097</v>
      </c>
      <c r="E11" s="9">
        <v>39.3465539414604</v>
      </c>
      <c r="F11" s="10">
        <v>0.222</v>
      </c>
      <c r="G11" s="13" t="s">
        <v>15</v>
      </c>
      <c r="H11" s="8" t="s">
        <v>87</v>
      </c>
      <c r="I11" s="8" t="s">
        <v>88</v>
      </c>
      <c r="J11" s="12">
        <v>16.690000000000001</v>
      </c>
      <c r="K11" s="1" t="s">
        <v>361</v>
      </c>
      <c r="L11" s="1" t="s">
        <v>362</v>
      </c>
      <c r="M11" s="1" t="s">
        <v>363</v>
      </c>
      <c r="N11" s="1" t="s">
        <v>230</v>
      </c>
    </row>
    <row r="12" spans="1:17" hidden="1" x14ac:dyDescent="0.3">
      <c r="A12" s="8" t="s">
        <v>281</v>
      </c>
      <c r="B12" s="8">
        <v>117.12</v>
      </c>
      <c r="C12" s="8">
        <v>50853</v>
      </c>
      <c r="D12" s="9">
        <v>10.6660821082609</v>
      </c>
      <c r="E12" s="9">
        <v>45.455066728797398</v>
      </c>
      <c r="F12" s="10">
        <v>0.16600000000000001</v>
      </c>
      <c r="G12" s="13" t="s">
        <v>15</v>
      </c>
      <c r="H12" s="8" t="s">
        <v>89</v>
      </c>
      <c r="I12" s="8" t="s">
        <v>90</v>
      </c>
      <c r="J12" s="12">
        <v>27.96</v>
      </c>
      <c r="K12" s="1" t="s">
        <v>362</v>
      </c>
      <c r="L12" s="1" t="s">
        <v>361</v>
      </c>
      <c r="M12" s="1" t="s">
        <v>370</v>
      </c>
      <c r="N12" s="1" t="s">
        <v>374</v>
      </c>
      <c r="O12" s="1">
        <v>8</v>
      </c>
    </row>
    <row r="13" spans="1:17" hidden="1" x14ac:dyDescent="0.3">
      <c r="A13" s="8" t="s">
        <v>282</v>
      </c>
      <c r="B13" s="8">
        <v>87.9</v>
      </c>
      <c r="C13" s="8">
        <v>54759</v>
      </c>
      <c r="D13" s="9">
        <v>10.058087893093701</v>
      </c>
      <c r="E13" s="9">
        <v>32.418920660000197</v>
      </c>
      <c r="F13" s="10">
        <v>0.16700000000000001</v>
      </c>
      <c r="G13" s="13" t="s">
        <v>15</v>
      </c>
      <c r="H13" s="8" t="s">
        <v>91</v>
      </c>
      <c r="I13" s="8" t="s">
        <v>92</v>
      </c>
      <c r="J13" s="12">
        <v>16.149999999999999</v>
      </c>
      <c r="K13" s="1" t="s">
        <v>361</v>
      </c>
      <c r="L13" s="1" t="s">
        <v>361</v>
      </c>
      <c r="M13" s="1" t="s">
        <v>367</v>
      </c>
      <c r="N13" s="1" t="s">
        <v>379</v>
      </c>
      <c r="O13" s="1">
        <v>9</v>
      </c>
    </row>
    <row r="14" spans="1:17" hidden="1" x14ac:dyDescent="0.3">
      <c r="A14" s="8" t="s">
        <v>284</v>
      </c>
      <c r="B14" s="8">
        <v>242.7</v>
      </c>
      <c r="C14" s="8">
        <v>57939</v>
      </c>
      <c r="D14" s="9">
        <v>11.094693388242501</v>
      </c>
      <c r="E14" s="9">
        <v>39.641819818431898</v>
      </c>
      <c r="F14" s="10">
        <v>0.20599999999999999</v>
      </c>
      <c r="G14" s="8" t="s">
        <v>12</v>
      </c>
      <c r="H14" s="8" t="s">
        <v>95</v>
      </c>
      <c r="I14" s="8" t="s">
        <v>149</v>
      </c>
      <c r="J14" s="12">
        <v>584.88199999999995</v>
      </c>
      <c r="K14" s="1" t="s">
        <v>362</v>
      </c>
      <c r="L14" s="1" t="s">
        <v>361</v>
      </c>
      <c r="M14" s="1" t="s">
        <v>149</v>
      </c>
      <c r="N14" s="1" t="s">
        <v>384</v>
      </c>
      <c r="O14" s="1">
        <v>10</v>
      </c>
    </row>
    <row r="15" spans="1:17" x14ac:dyDescent="0.3">
      <c r="A15" s="8" t="s">
        <v>285</v>
      </c>
      <c r="B15" s="8">
        <v>49.16</v>
      </c>
      <c r="C15" s="8">
        <v>60143</v>
      </c>
      <c r="D15" s="9">
        <v>13.942579608255601</v>
      </c>
      <c r="E15" s="9">
        <v>44.880407385954001</v>
      </c>
      <c r="F15" s="10">
        <v>0.19700000000000001</v>
      </c>
      <c r="G15" s="8" t="s">
        <v>12</v>
      </c>
      <c r="H15" s="8" t="s">
        <v>96</v>
      </c>
      <c r="I15" s="8" t="s">
        <v>193</v>
      </c>
      <c r="J15" s="12">
        <v>207.34100000000001</v>
      </c>
      <c r="K15" s="1" t="s">
        <v>361</v>
      </c>
      <c r="L15" s="1" t="s">
        <v>361</v>
      </c>
      <c r="M15" s="1" t="s">
        <v>370</v>
      </c>
      <c r="N15" s="1" t="s">
        <v>373</v>
      </c>
      <c r="O15" s="1">
        <v>11</v>
      </c>
      <c r="P15" s="1" t="s">
        <v>389</v>
      </c>
      <c r="Q15" s="1" t="str">
        <f>M15</f>
        <v>Communications</v>
      </c>
    </row>
    <row r="16" spans="1:17" x14ac:dyDescent="0.3">
      <c r="A16" s="8" t="s">
        <v>286</v>
      </c>
      <c r="B16" s="8">
        <v>79.67</v>
      </c>
      <c r="C16" s="8">
        <v>60636</v>
      </c>
      <c r="D16" s="9">
        <v>12.455138352885401</v>
      </c>
      <c r="E16" s="9">
        <v>35.644618608803903</v>
      </c>
      <c r="F16" s="10">
        <v>0.17</v>
      </c>
      <c r="G16" s="8" t="s">
        <v>12</v>
      </c>
      <c r="H16" s="8" t="s">
        <v>97</v>
      </c>
      <c r="I16" s="8" t="s">
        <v>180</v>
      </c>
      <c r="J16" s="12">
        <v>343.18200000000002</v>
      </c>
      <c r="K16" s="1" t="s">
        <v>361</v>
      </c>
      <c r="L16" s="1" t="s">
        <v>361</v>
      </c>
      <c r="M16" s="1" t="s">
        <v>367</v>
      </c>
      <c r="N16" s="1" t="s">
        <v>378</v>
      </c>
      <c r="O16" s="1">
        <v>12</v>
      </c>
      <c r="P16" s="1" t="s">
        <v>389</v>
      </c>
      <c r="Q16" s="1" t="str">
        <f t="shared" ref="Q16:Q29" si="0">M16</f>
        <v>Consumer</v>
      </c>
    </row>
    <row r="17" spans="1:17" hidden="1" x14ac:dyDescent="0.3">
      <c r="A17" s="8" t="s">
        <v>287</v>
      </c>
      <c r="B17" s="8">
        <v>79.23</v>
      </c>
      <c r="C17" s="8">
        <v>61298</v>
      </c>
      <c r="D17" s="9">
        <v>15.095069523619101</v>
      </c>
      <c r="E17" s="9">
        <v>43.037377403604303</v>
      </c>
      <c r="F17" s="10">
        <v>0.22</v>
      </c>
      <c r="G17" s="8" t="s">
        <v>12</v>
      </c>
      <c r="H17" s="8" t="s">
        <v>98</v>
      </c>
      <c r="I17" s="8" t="s">
        <v>194</v>
      </c>
      <c r="J17" s="12">
        <v>310.30399999999997</v>
      </c>
      <c r="K17" s="1" t="s">
        <v>361</v>
      </c>
      <c r="L17" s="1" t="s">
        <v>361</v>
      </c>
      <c r="M17" s="1" t="s">
        <v>370</v>
      </c>
      <c r="N17" s="1" t="s">
        <v>372</v>
      </c>
      <c r="O17" s="1">
        <v>14</v>
      </c>
    </row>
    <row r="18" spans="1:17" hidden="1" x14ac:dyDescent="0.3">
      <c r="A18" s="8" t="s">
        <v>293</v>
      </c>
      <c r="B18" s="8">
        <v>28.01</v>
      </c>
      <c r="C18" s="8">
        <v>66527</v>
      </c>
      <c r="D18" s="9">
        <v>16.145961815029199</v>
      </c>
      <c r="E18" s="11">
        <v>50.2253531180164</v>
      </c>
      <c r="F18" s="10">
        <v>0.22</v>
      </c>
      <c r="G18" s="8" t="s">
        <v>12</v>
      </c>
      <c r="H18" s="8" t="s">
        <v>108</v>
      </c>
      <c r="I18" s="8" t="s">
        <v>193</v>
      </c>
      <c r="J18" s="12">
        <v>196.08600000000001</v>
      </c>
      <c r="K18" s="1" t="s">
        <v>361</v>
      </c>
      <c r="L18" s="1" t="s">
        <v>361</v>
      </c>
      <c r="M18" s="1" t="s">
        <v>370</v>
      </c>
      <c r="N18" s="1" t="s">
        <v>371</v>
      </c>
      <c r="O18" s="1">
        <v>14</v>
      </c>
    </row>
    <row r="19" spans="1:17" hidden="1" x14ac:dyDescent="0.3">
      <c r="A19" s="8" t="s">
        <v>300</v>
      </c>
      <c r="B19" s="8">
        <v>52.44</v>
      </c>
      <c r="C19" s="8">
        <v>138682</v>
      </c>
      <c r="D19" s="9">
        <v>12.1805098628866</v>
      </c>
      <c r="E19" s="9">
        <v>49.9697741825088</v>
      </c>
      <c r="F19" s="10">
        <v>0.17499999999999999</v>
      </c>
      <c r="G19" s="13" t="s">
        <v>15</v>
      </c>
      <c r="H19" s="8" t="s">
        <v>117</v>
      </c>
      <c r="I19" s="14" t="s">
        <v>118</v>
      </c>
      <c r="J19" s="12">
        <v>55.29</v>
      </c>
      <c r="K19" s="1" t="s">
        <v>361</v>
      </c>
      <c r="L19" s="1" t="s">
        <v>361</v>
      </c>
      <c r="M19" s="1" t="s">
        <v>365</v>
      </c>
      <c r="N19" s="1" t="s">
        <v>260</v>
      </c>
      <c r="O19" s="1">
        <v>15</v>
      </c>
    </row>
    <row r="20" spans="1:17" hidden="1" x14ac:dyDescent="0.3">
      <c r="A20" s="8" t="s">
        <v>301</v>
      </c>
      <c r="B20" s="8">
        <v>104.77</v>
      </c>
      <c r="C20" s="8">
        <v>144747</v>
      </c>
      <c r="D20" s="9">
        <v>9.10403046740708</v>
      </c>
      <c r="E20" s="9">
        <v>36.887592799179302</v>
      </c>
      <c r="F20" s="10">
        <v>0.14699999999999999</v>
      </c>
      <c r="G20" s="13" t="s">
        <v>15</v>
      </c>
      <c r="H20" s="8" t="s">
        <v>119</v>
      </c>
      <c r="I20" s="8" t="s">
        <v>120</v>
      </c>
      <c r="J20" s="12">
        <v>74.34</v>
      </c>
      <c r="K20" s="1" t="s">
        <v>362</v>
      </c>
      <c r="L20" s="1" t="s">
        <v>361</v>
      </c>
      <c r="M20" s="1" t="s">
        <v>375</v>
      </c>
      <c r="N20" s="1" t="s">
        <v>310</v>
      </c>
    </row>
    <row r="21" spans="1:17" x14ac:dyDescent="0.3">
      <c r="A21" s="8" t="s">
        <v>310</v>
      </c>
      <c r="B21" s="8">
        <v>62.41</v>
      </c>
      <c r="C21" s="8">
        <v>251565</v>
      </c>
      <c r="D21" s="9">
        <v>9.6691628153617408</v>
      </c>
      <c r="E21" s="9">
        <v>44.596256336352702</v>
      </c>
      <c r="F21" s="10">
        <v>0.21299999999999999</v>
      </c>
      <c r="G21" s="13" t="s">
        <v>15</v>
      </c>
      <c r="H21" s="8" t="s">
        <v>135</v>
      </c>
      <c r="I21" s="8" t="s">
        <v>136</v>
      </c>
      <c r="J21" s="12">
        <v>26.95</v>
      </c>
      <c r="K21" s="1" t="s">
        <v>361</v>
      </c>
      <c r="L21" s="1" t="s">
        <v>361</v>
      </c>
      <c r="M21" s="1" t="s">
        <v>375</v>
      </c>
      <c r="N21" s="1" t="s">
        <v>301</v>
      </c>
      <c r="O21" s="1">
        <v>16</v>
      </c>
      <c r="P21" s="1" t="s">
        <v>15</v>
      </c>
      <c r="Q21" s="1" t="str">
        <f t="shared" si="0"/>
        <v>International</v>
      </c>
    </row>
    <row r="22" spans="1:17" hidden="1" x14ac:dyDescent="0.3">
      <c r="A22" s="8" t="s">
        <v>312</v>
      </c>
      <c r="B22" s="8">
        <v>54.99</v>
      </c>
      <c r="C22" s="8">
        <v>338667</v>
      </c>
      <c r="D22" s="9">
        <v>16.425353802472401</v>
      </c>
      <c r="E22" s="9">
        <v>55.594113380443098</v>
      </c>
      <c r="F22" s="10">
        <v>0.28000000000000003</v>
      </c>
      <c r="G22" s="13" t="s">
        <v>15</v>
      </c>
      <c r="H22" s="8" t="s">
        <v>139</v>
      </c>
      <c r="I22" s="8" t="s">
        <v>140</v>
      </c>
      <c r="J22" s="12">
        <v>32.99</v>
      </c>
      <c r="K22" s="1" t="s">
        <v>361</v>
      </c>
      <c r="L22" s="1" t="s">
        <v>361</v>
      </c>
      <c r="M22" s="1" t="s">
        <v>376</v>
      </c>
    </row>
    <row r="23" spans="1:17" x14ac:dyDescent="0.3">
      <c r="A23" s="8" t="s">
        <v>318</v>
      </c>
      <c r="B23" s="8">
        <v>89.36</v>
      </c>
      <c r="C23" s="8">
        <v>679331</v>
      </c>
      <c r="D23" s="9">
        <v>8.4912742332242601</v>
      </c>
      <c r="E23" s="9">
        <v>30.096480585692198</v>
      </c>
      <c r="F23" s="10">
        <v>9.9000000000000005E-2</v>
      </c>
      <c r="G23" s="13" t="s">
        <v>15</v>
      </c>
      <c r="H23" s="8" t="s">
        <v>143</v>
      </c>
      <c r="I23" s="8" t="s">
        <v>144</v>
      </c>
      <c r="J23" s="12">
        <v>45.21</v>
      </c>
      <c r="K23" s="1" t="s">
        <v>361</v>
      </c>
      <c r="L23" s="1" t="s">
        <v>361</v>
      </c>
      <c r="M23" s="1" t="s">
        <v>366</v>
      </c>
      <c r="N23" s="1" t="s">
        <v>263</v>
      </c>
      <c r="O23" s="1">
        <v>17</v>
      </c>
      <c r="P23" s="1" t="s">
        <v>15</v>
      </c>
      <c r="Q23" s="1" t="str">
        <f t="shared" si="0"/>
        <v>Bonds</v>
      </c>
    </row>
    <row r="24" spans="1:17" hidden="1" x14ac:dyDescent="0.3">
      <c r="A24" s="8" t="s">
        <v>321</v>
      </c>
      <c r="B24" s="11">
        <v>122.84</v>
      </c>
      <c r="C24" s="8">
        <v>1020000</v>
      </c>
      <c r="D24" s="11">
        <v>14.62</v>
      </c>
      <c r="E24" s="11">
        <v>49.32</v>
      </c>
      <c r="F24" s="15">
        <v>0.248</v>
      </c>
      <c r="G24" s="8" t="s">
        <v>12</v>
      </c>
      <c r="H24" s="8" t="s">
        <v>153</v>
      </c>
      <c r="I24" s="8" t="s">
        <v>203</v>
      </c>
      <c r="J24" s="12">
        <v>979.05499999999995</v>
      </c>
      <c r="K24" s="1" t="s">
        <v>362</v>
      </c>
      <c r="L24" s="1" t="s">
        <v>361</v>
      </c>
      <c r="M24" s="1" t="s">
        <v>367</v>
      </c>
      <c r="N24" s="1" t="s">
        <v>377</v>
      </c>
      <c r="O24" s="1">
        <v>18</v>
      </c>
    </row>
    <row r="25" spans="1:17" x14ac:dyDescent="0.3">
      <c r="A25" s="8" t="s">
        <v>324</v>
      </c>
      <c r="B25" s="8">
        <v>264.47000000000003</v>
      </c>
      <c r="C25" s="8">
        <v>1923789</v>
      </c>
      <c r="D25" s="9">
        <v>16.2681953475266</v>
      </c>
      <c r="E25" s="9">
        <v>55.967162351003601</v>
      </c>
      <c r="F25" s="10">
        <v>0.23100000000000001</v>
      </c>
      <c r="G25" s="13" t="s">
        <v>15</v>
      </c>
      <c r="H25" s="8" t="s">
        <v>156</v>
      </c>
      <c r="I25" s="8" t="s">
        <v>157</v>
      </c>
      <c r="J25" s="12">
        <v>73.89</v>
      </c>
      <c r="K25" s="1" t="s">
        <v>362</v>
      </c>
      <c r="L25" s="1" t="s">
        <v>361</v>
      </c>
      <c r="M25" s="1" t="s">
        <v>382</v>
      </c>
      <c r="P25" s="1" t="s">
        <v>15</v>
      </c>
      <c r="Q25" s="1" t="str">
        <f t="shared" si="0"/>
        <v>Indexes</v>
      </c>
    </row>
    <row r="26" spans="1:17" x14ac:dyDescent="0.3">
      <c r="A26" s="8" t="s">
        <v>325</v>
      </c>
      <c r="B26" s="11">
        <v>26.62</v>
      </c>
      <c r="C26" s="8">
        <v>2330000</v>
      </c>
      <c r="D26" s="11">
        <v>16.04</v>
      </c>
      <c r="E26" s="11">
        <v>54.9</v>
      </c>
      <c r="F26" s="15">
        <v>0.22700000000000001</v>
      </c>
      <c r="G26" s="8" t="s">
        <v>12</v>
      </c>
      <c r="H26" s="8" t="s">
        <v>158</v>
      </c>
      <c r="I26" s="8" t="s">
        <v>159</v>
      </c>
      <c r="J26" s="12">
        <v>151.35400000000001</v>
      </c>
      <c r="K26" s="1" t="s">
        <v>361</v>
      </c>
      <c r="L26" s="1" t="s">
        <v>361</v>
      </c>
      <c r="M26" s="1" t="s">
        <v>149</v>
      </c>
      <c r="N26" s="1" t="s">
        <v>385</v>
      </c>
      <c r="O26" s="1">
        <v>19</v>
      </c>
      <c r="P26" s="1" t="s">
        <v>389</v>
      </c>
      <c r="Q26" s="1" t="str">
        <f t="shared" si="0"/>
        <v>Pharmaceuticals</v>
      </c>
    </row>
    <row r="27" spans="1:17" hidden="1" x14ac:dyDescent="0.3">
      <c r="A27" s="8" t="s">
        <v>331</v>
      </c>
      <c r="B27" s="11">
        <v>470.49</v>
      </c>
      <c r="C27" s="8">
        <v>4850000</v>
      </c>
      <c r="D27" s="11">
        <v>13.29</v>
      </c>
      <c r="E27" s="11">
        <v>50.66</v>
      </c>
      <c r="F27" s="15">
        <v>0.32</v>
      </c>
      <c r="G27" s="13" t="s">
        <v>15</v>
      </c>
      <c r="H27" s="8" t="s">
        <v>210</v>
      </c>
      <c r="I27" s="8" t="s">
        <v>211</v>
      </c>
      <c r="J27" s="12">
        <v>174.07</v>
      </c>
      <c r="K27" s="1" t="s">
        <v>362</v>
      </c>
      <c r="L27" s="1" t="s">
        <v>361</v>
      </c>
      <c r="M27" s="1" t="s">
        <v>386</v>
      </c>
      <c r="O27" s="1">
        <v>20</v>
      </c>
    </row>
    <row r="28" spans="1:17" x14ac:dyDescent="0.3">
      <c r="A28" s="8" t="s">
        <v>332</v>
      </c>
      <c r="B28" s="8">
        <v>608.75</v>
      </c>
      <c r="C28" s="8">
        <v>7750000</v>
      </c>
      <c r="D28" s="8">
        <v>14.28</v>
      </c>
      <c r="E28" s="8">
        <v>51.3</v>
      </c>
      <c r="F28" s="10">
        <v>0.21199999999999999</v>
      </c>
      <c r="G28" s="13" t="s">
        <v>15</v>
      </c>
      <c r="H28" s="8" t="s">
        <v>212</v>
      </c>
      <c r="I28" s="8" t="s">
        <v>213</v>
      </c>
      <c r="J28" s="12">
        <v>411.78</v>
      </c>
      <c r="K28" s="1" t="s">
        <v>362</v>
      </c>
      <c r="L28" s="1" t="s">
        <v>361</v>
      </c>
      <c r="M28" s="1" t="s">
        <v>382</v>
      </c>
      <c r="O28" s="1">
        <v>21</v>
      </c>
      <c r="P28" s="1" t="s">
        <v>15</v>
      </c>
      <c r="Q28" s="1" t="str">
        <f t="shared" si="0"/>
        <v>Indexes</v>
      </c>
    </row>
    <row r="29" spans="1:17" x14ac:dyDescent="0.3">
      <c r="A29" s="8" t="s">
        <v>334</v>
      </c>
      <c r="B29" s="11">
        <v>689.59</v>
      </c>
      <c r="C29" s="8">
        <v>12800000</v>
      </c>
      <c r="D29" s="11">
        <v>10.52</v>
      </c>
      <c r="E29" s="11">
        <v>46.27</v>
      </c>
      <c r="F29" s="15">
        <v>0.154</v>
      </c>
      <c r="G29" s="13" t="s">
        <v>15</v>
      </c>
      <c r="H29" s="8" t="s">
        <v>214</v>
      </c>
      <c r="I29" s="8" t="s">
        <v>62</v>
      </c>
      <c r="J29" s="12">
        <v>708.92</v>
      </c>
      <c r="K29" s="1" t="s">
        <v>362</v>
      </c>
      <c r="L29" s="1" t="s">
        <v>361</v>
      </c>
      <c r="M29" s="1" t="s">
        <v>382</v>
      </c>
      <c r="O29" s="1">
        <v>22</v>
      </c>
      <c r="P29" s="1" t="s">
        <v>15</v>
      </c>
      <c r="Q29" s="1" t="str">
        <f t="shared" si="0"/>
        <v>Indexes</v>
      </c>
    </row>
  </sheetData>
  <autoFilter ref="A1:Q29" xr:uid="{4D23A640-6D97-49FB-9F3A-AFA569373EA5}">
    <filterColumn colId="1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AA12-ECFC-4EC7-A695-48C9604E44F4}">
  <dimension ref="A1:P2"/>
  <sheetViews>
    <sheetView workbookViewId="0">
      <selection activeCell="A2" sqref="A2"/>
    </sheetView>
  </sheetViews>
  <sheetFormatPr defaultRowHeight="14.4" x14ac:dyDescent="0.3"/>
  <cols>
    <col min="1" max="1" width="5.5" bestFit="1" customWidth="1"/>
    <col min="2" max="2" width="5.3984375" bestFit="1" customWidth="1"/>
    <col min="3" max="3" width="10.3984375" bestFit="1" customWidth="1"/>
    <col min="4" max="4" width="12.3984375" bestFit="1" customWidth="1"/>
    <col min="5" max="5" width="13" bestFit="1" customWidth="1"/>
    <col min="6" max="6" width="19.5" bestFit="1" customWidth="1"/>
    <col min="7" max="7" width="4.3984375" bestFit="1" customWidth="1"/>
    <col min="8" max="8" width="36.3984375" bestFit="1" customWidth="1"/>
    <col min="9" max="9" width="18.59765625" customWidth="1"/>
    <col min="10" max="10" width="7.3984375" bestFit="1" customWidth="1"/>
  </cols>
  <sheetData>
    <row r="1" spans="1:16" x14ac:dyDescent="0.3">
      <c r="A1" s="1" t="s">
        <v>217</v>
      </c>
      <c r="B1" s="4" t="s">
        <v>0</v>
      </c>
      <c r="C1" s="1" t="s">
        <v>1</v>
      </c>
      <c r="D1" s="4" t="s">
        <v>2</v>
      </c>
      <c r="E1" s="4" t="s">
        <v>3</v>
      </c>
      <c r="F1" s="5" t="s">
        <v>4</v>
      </c>
      <c r="G1" s="1" t="s">
        <v>5</v>
      </c>
      <c r="H1" s="1" t="s">
        <v>7</v>
      </c>
      <c r="I1" s="1" t="s">
        <v>9</v>
      </c>
      <c r="J1" s="6" t="s">
        <v>11</v>
      </c>
      <c r="K1" s="1" t="s">
        <v>358</v>
      </c>
      <c r="L1" s="1" t="s">
        <v>359</v>
      </c>
      <c r="M1" s="1" t="s">
        <v>360</v>
      </c>
      <c r="N1" s="1" t="s">
        <v>369</v>
      </c>
      <c r="O1" s="1" t="s">
        <v>387</v>
      </c>
      <c r="P1" s="1" t="s">
        <v>388</v>
      </c>
    </row>
    <row r="2" spans="1:16" x14ac:dyDescent="0.3">
      <c r="A2" s="16" t="s">
        <v>317</v>
      </c>
      <c r="B2" s="16">
        <v>81.010000000000005</v>
      </c>
      <c r="C2" s="16">
        <v>583992</v>
      </c>
      <c r="D2" s="17">
        <v>1.6398365824788199</v>
      </c>
      <c r="E2" s="17">
        <v>54.1273109904743</v>
      </c>
      <c r="F2" s="18">
        <v>3.3000000000000002E-2</v>
      </c>
      <c r="G2" s="16" t="s">
        <v>15</v>
      </c>
      <c r="H2" s="16" t="s">
        <v>141</v>
      </c>
      <c r="I2" s="16" t="s">
        <v>142</v>
      </c>
      <c r="J2" s="19">
        <v>18.059999999999999</v>
      </c>
      <c r="K2" s="16" t="s">
        <v>361</v>
      </c>
      <c r="L2" s="16" t="s">
        <v>361</v>
      </c>
      <c r="M2" s="16" t="s">
        <v>365</v>
      </c>
      <c r="O2">
        <v>23</v>
      </c>
      <c r="P2" s="16" t="s">
        <v>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B379-F9A7-47B9-B6B9-6C6101AF37A2}">
  <sheetPr filterMode="1"/>
  <dimension ref="A1:Q12"/>
  <sheetViews>
    <sheetView workbookViewId="0">
      <selection activeCell="A5" sqref="A5:Q12"/>
    </sheetView>
  </sheetViews>
  <sheetFormatPr defaultRowHeight="14.4" x14ac:dyDescent="0.3"/>
  <cols>
    <col min="1" max="7" width="8.796875" style="1"/>
    <col min="8" max="8" width="24.59765625" style="1" bestFit="1" customWidth="1"/>
    <col min="9" max="10" width="8.796875" style="1"/>
    <col min="11" max="11" width="9.19921875" style="1" bestFit="1" customWidth="1"/>
    <col min="12" max="12" width="8.796875" style="1"/>
    <col min="13" max="13" width="14.09765625" style="1" bestFit="1" customWidth="1"/>
    <col min="14" max="16" width="8.796875" style="1"/>
    <col min="17" max="17" width="14.09765625" style="1" bestFit="1" customWidth="1"/>
    <col min="18" max="16384" width="8.796875" style="1"/>
  </cols>
  <sheetData>
    <row r="1" spans="1:17" x14ac:dyDescent="0.3">
      <c r="A1" s="1" t="s">
        <v>217</v>
      </c>
      <c r="B1" s="4" t="s">
        <v>0</v>
      </c>
      <c r="C1" s="1" t="s">
        <v>1</v>
      </c>
      <c r="D1" s="4" t="s">
        <v>2</v>
      </c>
      <c r="E1" s="4" t="s">
        <v>3</v>
      </c>
      <c r="F1" s="5" t="s">
        <v>4</v>
      </c>
      <c r="G1" s="1" t="s">
        <v>5</v>
      </c>
      <c r="H1" s="1" t="s">
        <v>7</v>
      </c>
      <c r="I1" s="1" t="s">
        <v>9</v>
      </c>
      <c r="J1" s="6" t="s">
        <v>11</v>
      </c>
      <c r="K1" s="1" t="s">
        <v>358</v>
      </c>
      <c r="L1" s="1" t="s">
        <v>359</v>
      </c>
      <c r="M1" s="1" t="s">
        <v>360</v>
      </c>
      <c r="N1" s="1" t="s">
        <v>369</v>
      </c>
      <c r="O1" s="1" t="s">
        <v>387</v>
      </c>
      <c r="P1" s="1" t="s">
        <v>388</v>
      </c>
    </row>
    <row r="2" spans="1:17" hidden="1" x14ac:dyDescent="0.3">
      <c r="A2" s="20" t="s">
        <v>243</v>
      </c>
      <c r="B2" s="20">
        <v>54.6</v>
      </c>
      <c r="C2" s="20">
        <v>13369</v>
      </c>
      <c r="D2" s="21">
        <v>31.058473477714301</v>
      </c>
      <c r="E2" s="21">
        <v>68.739793278743505</v>
      </c>
      <c r="F2" s="22">
        <v>0.55500000000000005</v>
      </c>
      <c r="G2" s="24" t="s">
        <v>15</v>
      </c>
      <c r="H2" s="20" t="s">
        <v>36</v>
      </c>
      <c r="I2" s="20" t="s">
        <v>37</v>
      </c>
      <c r="J2" s="23">
        <v>7.73</v>
      </c>
      <c r="K2" s="20" t="s">
        <v>361</v>
      </c>
      <c r="L2" s="20" t="s">
        <v>362</v>
      </c>
      <c r="M2" s="20" t="s">
        <v>17</v>
      </c>
    </row>
    <row r="3" spans="1:17" hidden="1" x14ac:dyDescent="0.3">
      <c r="A3" s="20" t="s">
        <v>291</v>
      </c>
      <c r="B3" s="20">
        <v>124.72</v>
      </c>
      <c r="C3" s="20">
        <v>65875</v>
      </c>
      <c r="D3" s="21">
        <v>22.2719348459472</v>
      </c>
      <c r="E3" s="21">
        <v>63.010686705607903</v>
      </c>
      <c r="F3" s="22">
        <v>0.32</v>
      </c>
      <c r="G3" s="24" t="s">
        <v>15</v>
      </c>
      <c r="H3" s="20" t="s">
        <v>104</v>
      </c>
      <c r="I3" s="20" t="s">
        <v>105</v>
      </c>
      <c r="J3" s="23">
        <v>8.34</v>
      </c>
      <c r="K3" s="1" t="s">
        <v>362</v>
      </c>
      <c r="L3" s="1" t="s">
        <v>361</v>
      </c>
      <c r="M3" s="1" t="s">
        <v>391</v>
      </c>
      <c r="O3" s="1">
        <v>24</v>
      </c>
    </row>
    <row r="4" spans="1:17" hidden="1" x14ac:dyDescent="0.3">
      <c r="A4" s="20" t="s">
        <v>303</v>
      </c>
      <c r="B4" s="20">
        <v>38.75</v>
      </c>
      <c r="C4" s="20">
        <v>166619</v>
      </c>
      <c r="D4" s="21">
        <v>17.041283483975</v>
      </c>
      <c r="E4" s="25">
        <v>59.816730622145997</v>
      </c>
      <c r="F4" s="22">
        <v>0.249</v>
      </c>
      <c r="G4" s="13" t="s">
        <v>15</v>
      </c>
      <c r="H4" s="20" t="s">
        <v>122</v>
      </c>
      <c r="I4" s="20" t="s">
        <v>123</v>
      </c>
      <c r="J4" s="23">
        <v>6.63</v>
      </c>
      <c r="K4" s="1" t="s">
        <v>361</v>
      </c>
      <c r="L4" s="1" t="s">
        <v>361</v>
      </c>
      <c r="M4" s="1" t="s">
        <v>375</v>
      </c>
      <c r="O4" s="1">
        <v>25</v>
      </c>
    </row>
    <row r="5" spans="1:17" x14ac:dyDescent="0.3">
      <c r="A5" s="20" t="s">
        <v>311</v>
      </c>
      <c r="B5" s="20">
        <v>106.26</v>
      </c>
      <c r="C5" s="20">
        <v>300005</v>
      </c>
      <c r="D5" s="21">
        <v>28.616975535871699</v>
      </c>
      <c r="E5" s="21">
        <v>61.586741008350998</v>
      </c>
      <c r="F5" s="22">
        <v>0.49299999999999999</v>
      </c>
      <c r="G5" s="13" t="s">
        <v>15</v>
      </c>
      <c r="H5" s="20" t="s">
        <v>137</v>
      </c>
      <c r="I5" s="20" t="s">
        <v>138</v>
      </c>
      <c r="J5" s="23">
        <v>28.89</v>
      </c>
      <c r="K5" s="1" t="s">
        <v>362</v>
      </c>
      <c r="L5" s="1" t="s">
        <v>361</v>
      </c>
      <c r="M5" s="1" t="s">
        <v>386</v>
      </c>
      <c r="O5" s="1">
        <v>26</v>
      </c>
      <c r="P5" s="1" t="s">
        <v>15</v>
      </c>
      <c r="Q5" s="1" t="str">
        <f>M5</f>
        <v>Precious</v>
      </c>
    </row>
    <row r="6" spans="1:17" x14ac:dyDescent="0.3">
      <c r="A6" s="20" t="s">
        <v>313</v>
      </c>
      <c r="B6" s="25">
        <v>60.75</v>
      </c>
      <c r="C6" s="20">
        <v>366000</v>
      </c>
      <c r="D6" s="25">
        <v>16.48</v>
      </c>
      <c r="E6" s="25">
        <v>60.49</v>
      </c>
      <c r="F6" s="26">
        <v>0.247</v>
      </c>
      <c r="G6" s="20" t="s">
        <v>12</v>
      </c>
      <c r="H6" s="20" t="s">
        <v>148</v>
      </c>
      <c r="I6" s="20" t="s">
        <v>149</v>
      </c>
      <c r="J6" s="23">
        <v>123.533</v>
      </c>
      <c r="K6" s="1" t="s">
        <v>361</v>
      </c>
      <c r="L6" s="1" t="s">
        <v>361</v>
      </c>
      <c r="M6" s="1" t="s">
        <v>149</v>
      </c>
      <c r="N6" s="1" t="s">
        <v>314</v>
      </c>
      <c r="O6" s="1">
        <v>27</v>
      </c>
      <c r="P6" s="1" t="s">
        <v>389</v>
      </c>
      <c r="Q6" s="1" t="str">
        <f t="shared" ref="Q6:Q12" si="0">M6</f>
        <v>Pharmaceuticals</v>
      </c>
    </row>
    <row r="7" spans="1:17" hidden="1" x14ac:dyDescent="0.3">
      <c r="A7" s="20" t="s">
        <v>314</v>
      </c>
      <c r="B7" s="25">
        <v>122.33</v>
      </c>
      <c r="C7" s="20">
        <v>380000</v>
      </c>
      <c r="D7" s="25">
        <v>20.66</v>
      </c>
      <c r="E7" s="25">
        <v>59.03</v>
      </c>
      <c r="F7" s="26">
        <v>0.25600000000000001</v>
      </c>
      <c r="G7" s="20" t="s">
        <v>12</v>
      </c>
      <c r="H7" s="20" t="s">
        <v>150</v>
      </c>
      <c r="I7" s="20" t="s">
        <v>151</v>
      </c>
      <c r="J7" s="23">
        <v>303.62599999999998</v>
      </c>
      <c r="K7" s="1" t="s">
        <v>362</v>
      </c>
      <c r="L7" s="1" t="s">
        <v>361</v>
      </c>
      <c r="M7" s="1" t="s">
        <v>149</v>
      </c>
      <c r="N7" s="1" t="s">
        <v>313</v>
      </c>
      <c r="O7" s="1">
        <v>28</v>
      </c>
    </row>
    <row r="8" spans="1:17" x14ac:dyDescent="0.3">
      <c r="A8" s="20" t="s">
        <v>322</v>
      </c>
      <c r="B8" s="25">
        <v>14.01</v>
      </c>
      <c r="C8" s="20">
        <v>1290000</v>
      </c>
      <c r="D8" s="25">
        <v>22.53</v>
      </c>
      <c r="E8" s="25">
        <v>68.25</v>
      </c>
      <c r="F8" s="26">
        <v>0.27800000000000002</v>
      </c>
      <c r="G8" s="20" t="s">
        <v>12</v>
      </c>
      <c r="H8" s="20" t="s">
        <v>154</v>
      </c>
      <c r="I8" s="20" t="s">
        <v>155</v>
      </c>
      <c r="J8" s="23">
        <v>55.893000000000001</v>
      </c>
      <c r="K8" s="1" t="s">
        <v>361</v>
      </c>
      <c r="L8" s="1" t="s">
        <v>361</v>
      </c>
      <c r="M8" s="1" t="s">
        <v>155</v>
      </c>
      <c r="O8" s="1">
        <v>29</v>
      </c>
      <c r="P8" s="1" t="s">
        <v>389</v>
      </c>
      <c r="Q8" s="1" t="str">
        <f t="shared" si="0"/>
        <v>Automotive</v>
      </c>
    </row>
    <row r="9" spans="1:17" hidden="1" x14ac:dyDescent="0.3">
      <c r="A9" s="20" t="s">
        <v>329</v>
      </c>
      <c r="B9" s="25">
        <v>210.05</v>
      </c>
      <c r="C9" s="20">
        <v>4340000</v>
      </c>
      <c r="D9" s="25">
        <v>22.63</v>
      </c>
      <c r="E9" s="25">
        <v>68.92</v>
      </c>
      <c r="F9" s="26">
        <v>0.314</v>
      </c>
      <c r="G9" s="20" t="s">
        <v>12</v>
      </c>
      <c r="H9" s="20" t="s">
        <v>207</v>
      </c>
      <c r="I9" s="20" t="s">
        <v>208</v>
      </c>
      <c r="J9" s="23">
        <v>2254.87</v>
      </c>
      <c r="K9" s="1" t="s">
        <v>362</v>
      </c>
      <c r="L9" s="1" t="s">
        <v>361</v>
      </c>
      <c r="M9" s="1" t="s">
        <v>216</v>
      </c>
      <c r="O9" s="1">
        <v>30</v>
      </c>
    </row>
    <row r="10" spans="1:17" hidden="1" x14ac:dyDescent="0.3">
      <c r="A10" s="20" t="s">
        <v>335</v>
      </c>
      <c r="B10" s="25">
        <v>315.26</v>
      </c>
      <c r="C10" s="20">
        <v>1310000</v>
      </c>
      <c r="D10" s="25">
        <v>24.24</v>
      </c>
      <c r="E10" s="25">
        <v>62.01</v>
      </c>
      <c r="F10" s="26">
        <v>0.309</v>
      </c>
      <c r="G10" s="20" t="s">
        <v>12</v>
      </c>
      <c r="H10" s="20" t="s">
        <v>215</v>
      </c>
      <c r="I10" s="20" t="s">
        <v>216</v>
      </c>
      <c r="J10" s="23">
        <v>3817.72</v>
      </c>
      <c r="K10" s="1" t="s">
        <v>362</v>
      </c>
      <c r="L10" s="1" t="s">
        <v>361</v>
      </c>
      <c r="M10" s="1" t="s">
        <v>216</v>
      </c>
      <c r="O10" s="1">
        <v>31</v>
      </c>
    </row>
    <row r="11" spans="1:17" x14ac:dyDescent="0.3">
      <c r="A11" s="20" t="s">
        <v>338</v>
      </c>
      <c r="B11" s="25">
        <v>41.56</v>
      </c>
      <c r="C11" s="20">
        <v>1480000</v>
      </c>
      <c r="D11" s="25">
        <v>25.89</v>
      </c>
      <c r="E11" s="25">
        <v>72.150000000000006</v>
      </c>
      <c r="F11" s="26">
        <v>0.36899999999999999</v>
      </c>
      <c r="G11" s="20" t="s">
        <v>12</v>
      </c>
      <c r="H11" s="20"/>
      <c r="I11" s="20" t="s">
        <v>220</v>
      </c>
      <c r="J11" s="23">
        <v>38.262999999999998</v>
      </c>
      <c r="K11" s="1" t="s">
        <v>361</v>
      </c>
      <c r="L11" s="1" t="s">
        <v>361</v>
      </c>
      <c r="M11" s="1" t="s">
        <v>216</v>
      </c>
      <c r="O11" s="1">
        <v>32</v>
      </c>
      <c r="P11" s="1" t="s">
        <v>389</v>
      </c>
      <c r="Q11" s="1" t="str">
        <f t="shared" si="0"/>
        <v>Internet</v>
      </c>
    </row>
    <row r="12" spans="1:17" x14ac:dyDescent="0.3">
      <c r="A12" s="20" t="s">
        <v>342</v>
      </c>
      <c r="B12" s="25">
        <v>65.349999999999994</v>
      </c>
      <c r="C12" s="20">
        <v>889000</v>
      </c>
      <c r="D12" s="25">
        <v>24.32</v>
      </c>
      <c r="E12" s="25">
        <v>70.790000000000006</v>
      </c>
      <c r="F12" s="26">
        <v>0.45100000000000001</v>
      </c>
      <c r="G12" s="20" t="s">
        <v>12</v>
      </c>
      <c r="H12" s="20"/>
      <c r="I12" s="20" t="s">
        <v>222</v>
      </c>
      <c r="J12" s="23">
        <v>96.742999999999995</v>
      </c>
      <c r="K12" s="1" t="s">
        <v>361</v>
      </c>
      <c r="L12" s="1" t="s">
        <v>361</v>
      </c>
      <c r="M12" s="1" t="s">
        <v>222</v>
      </c>
      <c r="O12" s="1">
        <v>33</v>
      </c>
      <c r="P12" s="1" t="s">
        <v>389</v>
      </c>
      <c r="Q12" s="1" t="str">
        <f t="shared" si="0"/>
        <v>Apparel</v>
      </c>
    </row>
  </sheetData>
  <autoFilter ref="A1:Q12" xr:uid="{560FB379-F9A7-47B9-B6B9-6C6101AF37A2}">
    <filterColumn colId="1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2DF0-FB26-44F4-A530-8E7A7F8A9A37}">
  <sheetPr filterMode="1"/>
  <dimension ref="A1:Q76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49" sqref="A49:Q65"/>
    </sheetView>
  </sheetViews>
  <sheetFormatPr defaultRowHeight="14.4" x14ac:dyDescent="0.3"/>
  <cols>
    <col min="4" max="4" width="12.3984375" bestFit="1" customWidth="1"/>
    <col min="5" max="5" width="13" bestFit="1" customWidth="1"/>
    <col min="6" max="6" width="19.5" bestFit="1" customWidth="1"/>
    <col min="7" max="7" width="5.8984375" bestFit="1" customWidth="1"/>
    <col min="8" max="8" width="19" bestFit="1" customWidth="1"/>
    <col min="13" max="13" width="13.5" bestFit="1" customWidth="1"/>
    <col min="14" max="14" width="43.59765625" bestFit="1" customWidth="1"/>
  </cols>
  <sheetData>
    <row r="1" spans="1:17" x14ac:dyDescent="0.3">
      <c r="A1" s="1" t="s">
        <v>217</v>
      </c>
      <c r="B1" s="4" t="s">
        <v>0</v>
      </c>
      <c r="C1" s="1" t="s">
        <v>1</v>
      </c>
      <c r="D1" s="4" t="s">
        <v>2</v>
      </c>
      <c r="E1" s="4" t="s">
        <v>3</v>
      </c>
      <c r="F1" s="5" t="s">
        <v>4</v>
      </c>
      <c r="G1" s="1" t="s">
        <v>5</v>
      </c>
      <c r="H1" s="1" t="s">
        <v>7</v>
      </c>
      <c r="I1" s="1" t="s">
        <v>9</v>
      </c>
      <c r="J1" s="6" t="s">
        <v>11</v>
      </c>
      <c r="K1" s="1" t="s">
        <v>358</v>
      </c>
      <c r="L1" s="1" t="s">
        <v>359</v>
      </c>
      <c r="M1" s="1" t="s">
        <v>360</v>
      </c>
      <c r="N1" s="1" t="s">
        <v>369</v>
      </c>
      <c r="O1" s="1" t="s">
        <v>387</v>
      </c>
      <c r="P1" s="1" t="s">
        <v>388</v>
      </c>
      <c r="Q1" s="1" t="s">
        <v>9</v>
      </c>
    </row>
    <row r="2" spans="1:17" hidden="1" x14ac:dyDescent="0.3">
      <c r="A2" s="27" t="s">
        <v>228</v>
      </c>
      <c r="B2" s="27">
        <v>7.64</v>
      </c>
      <c r="C2" s="27">
        <v>10536</v>
      </c>
      <c r="D2" s="28">
        <v>39.364017141898998</v>
      </c>
      <c r="E2" s="28">
        <v>353.90944480902601</v>
      </c>
      <c r="F2" s="29">
        <v>1.1040000000000001</v>
      </c>
      <c r="G2" s="27" t="s">
        <v>12</v>
      </c>
      <c r="H2" s="27" t="s">
        <v>14</v>
      </c>
      <c r="I2" s="27" t="s">
        <v>149</v>
      </c>
      <c r="J2" s="30">
        <v>1.663</v>
      </c>
      <c r="K2" s="27" t="s">
        <v>361</v>
      </c>
      <c r="L2" s="27" t="s">
        <v>362</v>
      </c>
      <c r="M2" s="27" t="s">
        <v>391</v>
      </c>
      <c r="N2" s="27" t="s">
        <v>415</v>
      </c>
      <c r="O2" s="27">
        <v>51</v>
      </c>
      <c r="Q2" t="str">
        <f>IF(P2="","",M2)</f>
        <v/>
      </c>
    </row>
    <row r="3" spans="1:17" hidden="1" x14ac:dyDescent="0.3">
      <c r="A3" s="27" t="s">
        <v>231</v>
      </c>
      <c r="B3" s="27">
        <v>7.87</v>
      </c>
      <c r="C3" s="27">
        <v>11473</v>
      </c>
      <c r="D3" s="28">
        <v>57.5752552201048</v>
      </c>
      <c r="E3" s="28">
        <v>273.60665918138</v>
      </c>
      <c r="F3" s="29">
        <v>1.099</v>
      </c>
      <c r="G3" s="27" t="s">
        <v>12</v>
      </c>
      <c r="H3" s="27" t="s">
        <v>20</v>
      </c>
      <c r="I3" s="27" t="s">
        <v>21</v>
      </c>
      <c r="J3" s="30">
        <v>1.48</v>
      </c>
      <c r="K3" s="27" t="s">
        <v>361</v>
      </c>
      <c r="L3" s="27" t="s">
        <v>362</v>
      </c>
      <c r="M3" s="27" t="s">
        <v>392</v>
      </c>
      <c r="N3" s="27" t="s">
        <v>475</v>
      </c>
      <c r="Q3" t="str">
        <f t="shared" ref="Q3:Q66" si="0">IF(P3="","",M3)</f>
        <v/>
      </c>
    </row>
    <row r="4" spans="1:17" hidden="1" x14ac:dyDescent="0.3">
      <c r="A4" s="27" t="s">
        <v>232</v>
      </c>
      <c r="B4" s="27">
        <v>69.44</v>
      </c>
      <c r="C4" s="27">
        <v>11691</v>
      </c>
      <c r="D4" s="28">
        <v>7.8451816482889001</v>
      </c>
      <c r="E4" s="28">
        <v>130.69323192772899</v>
      </c>
      <c r="F4" s="29">
        <v>0.187</v>
      </c>
      <c r="G4" s="13" t="s">
        <v>15</v>
      </c>
      <c r="H4" s="27" t="s">
        <v>22</v>
      </c>
      <c r="I4" s="27" t="s">
        <v>23</v>
      </c>
      <c r="J4" s="30">
        <v>5.37</v>
      </c>
      <c r="K4" s="27" t="s">
        <v>361</v>
      </c>
      <c r="L4" s="27" t="s">
        <v>362</v>
      </c>
      <c r="M4" s="27" t="s">
        <v>375</v>
      </c>
      <c r="N4" s="27" t="s">
        <v>306</v>
      </c>
      <c r="O4" s="27">
        <v>52</v>
      </c>
      <c r="Q4" t="str">
        <f t="shared" si="0"/>
        <v/>
      </c>
    </row>
    <row r="5" spans="1:17" hidden="1" x14ac:dyDescent="0.3">
      <c r="A5" s="27" t="s">
        <v>234</v>
      </c>
      <c r="B5" s="27">
        <v>23.81</v>
      </c>
      <c r="C5" s="27">
        <v>11972</v>
      </c>
      <c r="D5" s="28">
        <v>61.956614313948599</v>
      </c>
      <c r="E5" s="28">
        <v>168.65553302711101</v>
      </c>
      <c r="F5" s="29">
        <v>1.272</v>
      </c>
      <c r="G5" s="27" t="s">
        <v>12</v>
      </c>
      <c r="H5" s="27" t="s">
        <v>26</v>
      </c>
      <c r="I5" s="27" t="s">
        <v>166</v>
      </c>
      <c r="J5" s="30">
        <v>8.1210000000000004</v>
      </c>
      <c r="K5" s="27" t="s">
        <v>361</v>
      </c>
      <c r="L5" s="27" t="s">
        <v>362</v>
      </c>
      <c r="M5" s="27" t="s">
        <v>393</v>
      </c>
      <c r="N5" s="27" t="s">
        <v>403</v>
      </c>
      <c r="Q5" t="str">
        <f t="shared" si="0"/>
        <v/>
      </c>
    </row>
    <row r="6" spans="1:17" hidden="1" x14ac:dyDescent="0.3">
      <c r="A6" s="27" t="s">
        <v>236</v>
      </c>
      <c r="B6" s="27">
        <v>29.4</v>
      </c>
      <c r="C6" s="27">
        <v>11995</v>
      </c>
      <c r="D6" s="28">
        <v>22.8053179364165</v>
      </c>
      <c r="E6" s="28">
        <v>97.344072068478596</v>
      </c>
      <c r="F6" s="29">
        <v>0.34699999999999998</v>
      </c>
      <c r="G6" s="13" t="s">
        <v>15</v>
      </c>
      <c r="H6" s="27" t="s">
        <v>27</v>
      </c>
      <c r="I6" s="27" t="s">
        <v>28</v>
      </c>
      <c r="J6" s="30">
        <v>1.57</v>
      </c>
      <c r="K6" s="27" t="s">
        <v>361</v>
      </c>
      <c r="L6" s="27" t="s">
        <v>362</v>
      </c>
      <c r="M6" s="27" t="s">
        <v>393</v>
      </c>
      <c r="N6" s="27" t="s">
        <v>402</v>
      </c>
      <c r="O6" s="27">
        <v>53</v>
      </c>
      <c r="Q6" t="str">
        <f t="shared" si="0"/>
        <v/>
      </c>
    </row>
    <row r="7" spans="1:17" hidden="1" x14ac:dyDescent="0.3">
      <c r="A7" s="27" t="s">
        <v>238</v>
      </c>
      <c r="B7" s="27">
        <v>22.27</v>
      </c>
      <c r="C7" s="27">
        <v>12229</v>
      </c>
      <c r="D7" s="28">
        <v>10.178734332324</v>
      </c>
      <c r="E7" s="28">
        <v>88.405137000781494</v>
      </c>
      <c r="F7" s="29">
        <v>0.187</v>
      </c>
      <c r="G7" s="27" t="s">
        <v>12</v>
      </c>
      <c r="H7" s="27" t="s">
        <v>31</v>
      </c>
      <c r="I7" s="27" t="s">
        <v>168</v>
      </c>
      <c r="J7" s="30">
        <v>4.407</v>
      </c>
      <c r="K7" s="27" t="s">
        <v>361</v>
      </c>
      <c r="L7" s="27" t="s">
        <v>362</v>
      </c>
      <c r="M7" s="27" t="s">
        <v>405</v>
      </c>
      <c r="N7" s="27" t="s">
        <v>435</v>
      </c>
      <c r="Q7" t="str">
        <f t="shared" si="0"/>
        <v/>
      </c>
    </row>
    <row r="8" spans="1:17" hidden="1" x14ac:dyDescent="0.3">
      <c r="A8" s="27" t="s">
        <v>239</v>
      </c>
      <c r="B8" s="27">
        <v>23.09</v>
      </c>
      <c r="C8" s="27">
        <v>12455</v>
      </c>
      <c r="D8" s="28">
        <v>11.1327924972251</v>
      </c>
      <c r="E8" s="28">
        <v>142.76421239639899</v>
      </c>
      <c r="F8" s="29">
        <v>0.20300000000000001</v>
      </c>
      <c r="G8" s="27" t="s">
        <v>12</v>
      </c>
      <c r="H8" s="27" t="s">
        <v>32</v>
      </c>
      <c r="I8" s="27" t="s">
        <v>169</v>
      </c>
      <c r="J8" s="30">
        <v>16.588000000000001</v>
      </c>
      <c r="K8" s="27" t="s">
        <v>361</v>
      </c>
      <c r="L8" s="27" t="s">
        <v>362</v>
      </c>
      <c r="M8" s="27" t="s">
        <v>35</v>
      </c>
      <c r="O8" s="27">
        <v>54</v>
      </c>
      <c r="Q8" t="str">
        <f t="shared" si="0"/>
        <v/>
      </c>
    </row>
    <row r="9" spans="1:17" hidden="1" x14ac:dyDescent="0.3">
      <c r="A9" s="27" t="s">
        <v>240</v>
      </c>
      <c r="B9" s="27">
        <v>5.96</v>
      </c>
      <c r="C9" s="27">
        <v>12642</v>
      </c>
      <c r="D9" s="28">
        <v>34.7048494578072</v>
      </c>
      <c r="E9" s="28">
        <v>201.055405611049</v>
      </c>
      <c r="F9" s="29">
        <v>1.1539999999999999</v>
      </c>
      <c r="G9" s="27" t="s">
        <v>12</v>
      </c>
      <c r="H9" s="27" t="s">
        <v>33</v>
      </c>
      <c r="I9" s="27" t="s">
        <v>170</v>
      </c>
      <c r="J9" s="30">
        <v>1.286</v>
      </c>
      <c r="K9" s="27" t="s">
        <v>361</v>
      </c>
      <c r="L9" s="27" t="s">
        <v>362</v>
      </c>
      <c r="M9" s="27" t="s">
        <v>376</v>
      </c>
      <c r="N9" s="27" t="s">
        <v>406</v>
      </c>
      <c r="Q9" t="str">
        <f t="shared" si="0"/>
        <v/>
      </c>
    </row>
    <row r="10" spans="1:17" hidden="1" x14ac:dyDescent="0.3">
      <c r="A10" s="27" t="s">
        <v>241</v>
      </c>
      <c r="B10" s="27">
        <v>6.25</v>
      </c>
      <c r="C10" s="27">
        <v>13165</v>
      </c>
      <c r="D10" s="28">
        <v>67.404748459303406</v>
      </c>
      <c r="E10" s="28">
        <v>271.25248019858799</v>
      </c>
      <c r="F10" s="29">
        <v>1.222</v>
      </c>
      <c r="G10" s="27" t="s">
        <v>12</v>
      </c>
      <c r="H10" s="27" t="s">
        <v>171</v>
      </c>
      <c r="I10" s="27" t="s">
        <v>172</v>
      </c>
      <c r="J10" s="30">
        <v>1.6910000000000001</v>
      </c>
      <c r="K10" s="27" t="s">
        <v>361</v>
      </c>
      <c r="L10" s="27" t="s">
        <v>362</v>
      </c>
      <c r="M10" s="27" t="s">
        <v>376</v>
      </c>
      <c r="N10" s="27" t="s">
        <v>407</v>
      </c>
      <c r="Q10" t="str">
        <f t="shared" si="0"/>
        <v/>
      </c>
    </row>
    <row r="11" spans="1:17" hidden="1" x14ac:dyDescent="0.3">
      <c r="A11" s="27" t="s">
        <v>244</v>
      </c>
      <c r="B11" s="27">
        <v>73.23</v>
      </c>
      <c r="C11" s="27">
        <v>13478</v>
      </c>
      <c r="D11" s="28">
        <v>14.0918003792228</v>
      </c>
      <c r="E11" s="28">
        <v>61.553405396812899</v>
      </c>
      <c r="F11" s="29">
        <v>0.18</v>
      </c>
      <c r="G11" s="27" t="s">
        <v>12</v>
      </c>
      <c r="H11" s="27" t="s">
        <v>38</v>
      </c>
      <c r="I11" s="27" t="s">
        <v>173</v>
      </c>
      <c r="J11" s="30">
        <v>159.16499999999999</v>
      </c>
      <c r="K11" s="27" t="s">
        <v>361</v>
      </c>
      <c r="L11" s="27" t="s">
        <v>362</v>
      </c>
      <c r="M11" s="27" t="s">
        <v>367</v>
      </c>
      <c r="O11" s="27">
        <v>55</v>
      </c>
      <c r="Q11" t="str">
        <f t="shared" si="0"/>
        <v/>
      </c>
    </row>
    <row r="12" spans="1:17" hidden="1" x14ac:dyDescent="0.3">
      <c r="A12" s="27" t="s">
        <v>246</v>
      </c>
      <c r="B12" s="27">
        <v>9.0500000000000007</v>
      </c>
      <c r="C12" s="27">
        <v>14269</v>
      </c>
      <c r="D12" s="28">
        <v>73.686290634257006</v>
      </c>
      <c r="E12" s="28">
        <v>649.41182307140298</v>
      </c>
      <c r="F12" s="29">
        <v>1.1879999999999999</v>
      </c>
      <c r="G12" s="27" t="s">
        <v>12</v>
      </c>
      <c r="H12" s="27" t="s">
        <v>41</v>
      </c>
      <c r="I12" s="27" t="s">
        <v>42</v>
      </c>
      <c r="J12" s="30">
        <v>0.63800000000000001</v>
      </c>
      <c r="K12" s="27" t="s">
        <v>361</v>
      </c>
      <c r="L12" s="27" t="s">
        <v>362</v>
      </c>
      <c r="M12" s="27" t="s">
        <v>17</v>
      </c>
      <c r="N12" s="27" t="s">
        <v>394</v>
      </c>
      <c r="O12" s="27">
        <v>56</v>
      </c>
      <c r="Q12" t="str">
        <f t="shared" si="0"/>
        <v/>
      </c>
    </row>
    <row r="13" spans="1:17" hidden="1" x14ac:dyDescent="0.3">
      <c r="A13" s="27" t="s">
        <v>247</v>
      </c>
      <c r="B13" s="27">
        <v>89.26</v>
      </c>
      <c r="C13" s="27">
        <v>15160</v>
      </c>
      <c r="D13" s="28">
        <v>22.202086479479298</v>
      </c>
      <c r="E13" s="28">
        <v>77.788262175943899</v>
      </c>
      <c r="F13" s="29">
        <v>0.498</v>
      </c>
      <c r="G13" s="13" t="s">
        <v>15</v>
      </c>
      <c r="H13" s="27" t="s">
        <v>43</v>
      </c>
      <c r="I13" s="27" t="s">
        <v>44</v>
      </c>
      <c r="J13" s="30">
        <v>7.26</v>
      </c>
      <c r="K13" s="27" t="s">
        <v>361</v>
      </c>
      <c r="L13" s="27" t="s">
        <v>362</v>
      </c>
      <c r="M13" s="27" t="s">
        <v>17</v>
      </c>
      <c r="N13" s="27" t="s">
        <v>398</v>
      </c>
      <c r="Q13" t="str">
        <f t="shared" si="0"/>
        <v/>
      </c>
    </row>
    <row r="14" spans="1:17" hidden="1" x14ac:dyDescent="0.3">
      <c r="A14" s="27" t="s">
        <v>249</v>
      </c>
      <c r="B14" s="27">
        <v>107.79</v>
      </c>
      <c r="C14" s="27">
        <v>15678</v>
      </c>
      <c r="D14" s="28">
        <v>30.4028583331764</v>
      </c>
      <c r="E14" s="31">
        <v>81.647357441975004</v>
      </c>
      <c r="F14" s="29">
        <v>0.6</v>
      </c>
      <c r="G14" s="13" t="s">
        <v>15</v>
      </c>
      <c r="H14" s="27" t="s">
        <v>47</v>
      </c>
      <c r="I14" s="27" t="s">
        <v>48</v>
      </c>
      <c r="J14" s="30">
        <v>6.28</v>
      </c>
      <c r="K14" s="27" t="s">
        <v>362</v>
      </c>
      <c r="L14" s="27" t="s">
        <v>362</v>
      </c>
      <c r="M14" s="27" t="s">
        <v>386</v>
      </c>
      <c r="N14" s="27" t="s">
        <v>308</v>
      </c>
      <c r="O14" s="27">
        <v>57</v>
      </c>
      <c r="Q14" t="str">
        <f t="shared" si="0"/>
        <v/>
      </c>
    </row>
    <row r="15" spans="1:17" hidden="1" x14ac:dyDescent="0.3">
      <c r="A15" s="27" t="s">
        <v>250</v>
      </c>
      <c r="B15" s="27">
        <v>5.89</v>
      </c>
      <c r="C15" s="27">
        <v>15768</v>
      </c>
      <c r="D15" s="28">
        <v>64.812441914012197</v>
      </c>
      <c r="E15" s="28">
        <v>259.29580001372301</v>
      </c>
      <c r="F15" s="29">
        <v>1.1639999999999999</v>
      </c>
      <c r="G15" s="27" t="s">
        <v>12</v>
      </c>
      <c r="H15" s="27" t="s">
        <v>49</v>
      </c>
      <c r="I15" s="27" t="s">
        <v>174</v>
      </c>
      <c r="J15" s="30">
        <v>2.4350000000000001</v>
      </c>
      <c r="K15" s="27" t="s">
        <v>361</v>
      </c>
      <c r="L15" s="27" t="s">
        <v>362</v>
      </c>
      <c r="M15" s="27" t="s">
        <v>17</v>
      </c>
      <c r="N15" s="27" t="s">
        <v>397</v>
      </c>
      <c r="Q15" t="str">
        <f t="shared" si="0"/>
        <v/>
      </c>
    </row>
    <row r="16" spans="1:17" hidden="1" x14ac:dyDescent="0.3">
      <c r="A16" s="27" t="s">
        <v>254</v>
      </c>
      <c r="B16" s="27">
        <v>33.700000000000003</v>
      </c>
      <c r="C16" s="27">
        <v>19146</v>
      </c>
      <c r="D16" s="28">
        <v>39.359253644454597</v>
      </c>
      <c r="E16" s="28">
        <v>249.06786431169101</v>
      </c>
      <c r="F16" s="29">
        <v>1.5669999999999999</v>
      </c>
      <c r="G16" s="27" t="s">
        <v>12</v>
      </c>
      <c r="H16" s="27" t="s">
        <v>56</v>
      </c>
      <c r="I16" s="27" t="s">
        <v>149</v>
      </c>
      <c r="J16" s="30">
        <v>2.9319999999999999</v>
      </c>
      <c r="K16" s="27" t="s">
        <v>361</v>
      </c>
      <c r="L16" s="27" t="s">
        <v>362</v>
      </c>
      <c r="M16" s="27" t="s">
        <v>391</v>
      </c>
      <c r="N16" s="27" t="s">
        <v>414</v>
      </c>
      <c r="Q16" t="str">
        <f t="shared" si="0"/>
        <v/>
      </c>
    </row>
    <row r="17" spans="1:17" hidden="1" x14ac:dyDescent="0.3">
      <c r="A17" s="27" t="s">
        <v>255</v>
      </c>
      <c r="B17" s="27">
        <v>140.88</v>
      </c>
      <c r="C17" s="27">
        <v>19756</v>
      </c>
      <c r="D17" s="28">
        <v>16.8317413414286</v>
      </c>
      <c r="E17" s="28">
        <v>64.707668625095806</v>
      </c>
      <c r="F17" s="29">
        <v>0.26500000000000001</v>
      </c>
      <c r="G17" s="13" t="s">
        <v>15</v>
      </c>
      <c r="H17" s="27" t="s">
        <v>58</v>
      </c>
      <c r="I17" s="27" t="s">
        <v>59</v>
      </c>
      <c r="J17" s="30">
        <v>91.64</v>
      </c>
      <c r="K17" s="27" t="s">
        <v>362</v>
      </c>
      <c r="L17" s="27" t="s">
        <v>362</v>
      </c>
      <c r="M17" s="27" t="s">
        <v>395</v>
      </c>
      <c r="N17" s="27" t="s">
        <v>461</v>
      </c>
      <c r="Q17" t="str">
        <f t="shared" si="0"/>
        <v/>
      </c>
    </row>
    <row r="18" spans="1:17" hidden="1" x14ac:dyDescent="0.3">
      <c r="A18" s="27" t="s">
        <v>256</v>
      </c>
      <c r="B18" s="27">
        <v>88.82</v>
      </c>
      <c r="C18" s="27">
        <v>20612</v>
      </c>
      <c r="D18" s="28">
        <v>17.0746205739419</v>
      </c>
      <c r="E18" s="28">
        <v>89.838603779212093</v>
      </c>
      <c r="F18" s="29">
        <v>0.248</v>
      </c>
      <c r="G18" s="13" t="s">
        <v>15</v>
      </c>
      <c r="H18" s="27" t="s">
        <v>60</v>
      </c>
      <c r="I18" s="27" t="s">
        <v>61</v>
      </c>
      <c r="J18" s="30">
        <v>0.52300000000000002</v>
      </c>
      <c r="K18" s="27" t="s">
        <v>361</v>
      </c>
      <c r="L18" s="27" t="s">
        <v>362</v>
      </c>
      <c r="M18" s="27" t="s">
        <v>221</v>
      </c>
      <c r="Q18" t="str">
        <f t="shared" si="0"/>
        <v/>
      </c>
    </row>
    <row r="19" spans="1:17" hidden="1" x14ac:dyDescent="0.3">
      <c r="A19" s="27" t="s">
        <v>261</v>
      </c>
      <c r="B19" s="27">
        <v>9.42</v>
      </c>
      <c r="C19" s="27">
        <v>22564</v>
      </c>
      <c r="D19" s="31">
        <v>70.522500411085304</v>
      </c>
      <c r="E19" s="28">
        <v>164.482129721761</v>
      </c>
      <c r="F19" s="29">
        <v>1.3009999999999999</v>
      </c>
      <c r="G19" s="27" t="s">
        <v>12</v>
      </c>
      <c r="H19" s="27" t="s">
        <v>67</v>
      </c>
      <c r="I19" s="27" t="s">
        <v>179</v>
      </c>
      <c r="J19" s="30">
        <v>3.2480000000000002</v>
      </c>
      <c r="K19" s="27" t="s">
        <v>361</v>
      </c>
      <c r="L19" s="27" t="s">
        <v>362</v>
      </c>
      <c r="M19" s="27" t="s">
        <v>216</v>
      </c>
      <c r="N19" s="27" t="s">
        <v>445</v>
      </c>
      <c r="Q19" t="str">
        <f t="shared" si="0"/>
        <v/>
      </c>
    </row>
    <row r="20" spans="1:17" hidden="1" x14ac:dyDescent="0.3">
      <c r="A20" s="27" t="s">
        <v>262</v>
      </c>
      <c r="B20" s="27">
        <v>29.9</v>
      </c>
      <c r="C20" s="27">
        <v>22728</v>
      </c>
      <c r="D20" s="28">
        <v>63.307537458203399</v>
      </c>
      <c r="E20" s="28">
        <v>605.82041040606896</v>
      </c>
      <c r="F20" s="29">
        <v>1.4650000000000001</v>
      </c>
      <c r="G20" s="27" t="s">
        <v>12</v>
      </c>
      <c r="H20" s="27" t="s">
        <v>68</v>
      </c>
      <c r="I20" s="27" t="s">
        <v>161</v>
      </c>
      <c r="J20" s="30">
        <v>1.2909999999999999</v>
      </c>
      <c r="K20" s="27" t="s">
        <v>361</v>
      </c>
      <c r="L20" s="27" t="s">
        <v>362</v>
      </c>
      <c r="M20" s="27" t="s">
        <v>161</v>
      </c>
      <c r="N20" s="27" t="s">
        <v>418</v>
      </c>
      <c r="Q20" t="str">
        <f t="shared" si="0"/>
        <v/>
      </c>
    </row>
    <row r="21" spans="1:17" hidden="1" x14ac:dyDescent="0.3">
      <c r="A21" s="27" t="s">
        <v>265</v>
      </c>
      <c r="B21" s="27">
        <v>29.13</v>
      </c>
      <c r="C21" s="27">
        <v>24318</v>
      </c>
      <c r="D21" s="28">
        <v>49.725307117513999</v>
      </c>
      <c r="E21" s="28">
        <v>151.78410622264801</v>
      </c>
      <c r="F21" s="29">
        <v>1.2110000000000001</v>
      </c>
      <c r="G21" s="27" t="s">
        <v>12</v>
      </c>
      <c r="H21" s="27" t="s">
        <v>181</v>
      </c>
      <c r="I21" s="27" t="s">
        <v>182</v>
      </c>
      <c r="J21" s="30">
        <v>6.2839999999999998</v>
      </c>
      <c r="K21" s="27" t="s">
        <v>361</v>
      </c>
      <c r="L21" s="27" t="s">
        <v>362</v>
      </c>
      <c r="M21" s="27" t="s">
        <v>164</v>
      </c>
      <c r="N21" s="27" t="s">
        <v>469</v>
      </c>
      <c r="Q21" t="str">
        <f t="shared" si="0"/>
        <v/>
      </c>
    </row>
    <row r="22" spans="1:17" hidden="1" x14ac:dyDescent="0.3">
      <c r="A22" s="27" t="s">
        <v>266</v>
      </c>
      <c r="B22" s="27">
        <v>49.36</v>
      </c>
      <c r="C22" s="27">
        <v>24864</v>
      </c>
      <c r="D22" s="28">
        <v>43.455689948887702</v>
      </c>
      <c r="E22" s="28">
        <v>467.55150847813297</v>
      </c>
      <c r="F22" s="29">
        <v>2.2400000000000002</v>
      </c>
      <c r="G22" s="27" t="s">
        <v>12</v>
      </c>
      <c r="H22" s="27" t="s">
        <v>72</v>
      </c>
      <c r="I22" s="27" t="s">
        <v>183</v>
      </c>
      <c r="J22" s="30">
        <v>1.9239999999999999</v>
      </c>
      <c r="K22" s="27" t="s">
        <v>361</v>
      </c>
      <c r="L22" s="27" t="s">
        <v>362</v>
      </c>
      <c r="M22" s="27" t="s">
        <v>391</v>
      </c>
      <c r="N22" s="27" t="s">
        <v>413</v>
      </c>
      <c r="Q22" t="str">
        <f t="shared" si="0"/>
        <v/>
      </c>
    </row>
    <row r="23" spans="1:17" hidden="1" x14ac:dyDescent="0.3">
      <c r="A23" s="27" t="s">
        <v>267</v>
      </c>
      <c r="B23" s="27">
        <v>51.63</v>
      </c>
      <c r="C23" s="27">
        <v>25088</v>
      </c>
      <c r="D23" s="28">
        <v>84.080916221410206</v>
      </c>
      <c r="E23" s="31">
        <v>196.43433407908299</v>
      </c>
      <c r="F23" s="29">
        <v>1.2869999999999999</v>
      </c>
      <c r="G23" s="27" t="s">
        <v>12</v>
      </c>
      <c r="H23" s="27" t="s">
        <v>73</v>
      </c>
      <c r="I23" s="27" t="s">
        <v>184</v>
      </c>
      <c r="J23" s="30">
        <v>3.2080000000000002</v>
      </c>
      <c r="K23" s="27" t="s">
        <v>361</v>
      </c>
      <c r="L23" s="27" t="s">
        <v>362</v>
      </c>
      <c r="M23" s="27" t="s">
        <v>395</v>
      </c>
      <c r="N23" s="27" t="s">
        <v>462</v>
      </c>
      <c r="Q23" t="str">
        <f t="shared" si="0"/>
        <v/>
      </c>
    </row>
    <row r="24" spans="1:17" hidden="1" x14ac:dyDescent="0.3">
      <c r="A24" s="27" t="s">
        <v>268</v>
      </c>
      <c r="B24" s="27">
        <v>49.86</v>
      </c>
      <c r="C24" s="27">
        <v>26416</v>
      </c>
      <c r="D24" s="28">
        <v>55.119466785929198</v>
      </c>
      <c r="E24" s="28">
        <v>155.498747172013</v>
      </c>
      <c r="F24" s="29">
        <v>1.1639999999999999</v>
      </c>
      <c r="G24" s="27" t="s">
        <v>12</v>
      </c>
      <c r="H24" s="27" t="s">
        <v>185</v>
      </c>
      <c r="I24" s="27" t="s">
        <v>186</v>
      </c>
      <c r="J24" s="30">
        <v>3.4129999999999998</v>
      </c>
      <c r="K24" s="27" t="s">
        <v>361</v>
      </c>
      <c r="L24" s="27" t="s">
        <v>362</v>
      </c>
      <c r="M24" s="27" t="s">
        <v>405</v>
      </c>
      <c r="N24" s="27" t="s">
        <v>436</v>
      </c>
      <c r="Q24" t="str">
        <f t="shared" si="0"/>
        <v/>
      </c>
    </row>
    <row r="25" spans="1:17" hidden="1" x14ac:dyDescent="0.3">
      <c r="A25" s="27" t="s">
        <v>270</v>
      </c>
      <c r="B25" s="27">
        <v>37.94</v>
      </c>
      <c r="C25" s="27">
        <v>28734</v>
      </c>
      <c r="D25" s="28">
        <v>22.062391224972099</v>
      </c>
      <c r="E25" s="28">
        <v>165.73780065827299</v>
      </c>
      <c r="F25" s="29">
        <v>1.2010000000000001</v>
      </c>
      <c r="G25" s="27" t="s">
        <v>12</v>
      </c>
      <c r="H25" s="27" t="s">
        <v>76</v>
      </c>
      <c r="I25" s="27" t="s">
        <v>187</v>
      </c>
      <c r="J25" s="30">
        <v>4.5519999999999996</v>
      </c>
      <c r="K25" s="27" t="s">
        <v>361</v>
      </c>
      <c r="L25" s="27" t="s">
        <v>362</v>
      </c>
      <c r="M25" s="27" t="s">
        <v>164</v>
      </c>
      <c r="N25" s="27" t="s">
        <v>470</v>
      </c>
      <c r="O25" s="27">
        <v>58</v>
      </c>
      <c r="Q25" t="str">
        <f t="shared" si="0"/>
        <v/>
      </c>
    </row>
    <row r="26" spans="1:17" hidden="1" x14ac:dyDescent="0.3">
      <c r="A26" s="27" t="s">
        <v>271</v>
      </c>
      <c r="B26" s="27">
        <v>7.38</v>
      </c>
      <c r="C26" s="27">
        <v>29349</v>
      </c>
      <c r="D26" s="28">
        <v>86.957376773160206</v>
      </c>
      <c r="E26" s="28">
        <v>219.79684372261801</v>
      </c>
      <c r="F26" s="29">
        <v>1.216</v>
      </c>
      <c r="G26" s="27" t="s">
        <v>12</v>
      </c>
      <c r="H26" s="27" t="s">
        <v>77</v>
      </c>
      <c r="I26" s="27" t="s">
        <v>188</v>
      </c>
      <c r="J26" s="30">
        <v>1.0329999999999999</v>
      </c>
      <c r="K26" s="27" t="s">
        <v>361</v>
      </c>
      <c r="L26" s="27" t="s">
        <v>362</v>
      </c>
      <c r="M26" s="27" t="s">
        <v>17</v>
      </c>
      <c r="N26" s="27" t="s">
        <v>396</v>
      </c>
      <c r="Q26" t="str">
        <f t="shared" si="0"/>
        <v/>
      </c>
    </row>
    <row r="27" spans="1:17" hidden="1" x14ac:dyDescent="0.3">
      <c r="A27" s="27" t="s">
        <v>273</v>
      </c>
      <c r="B27" s="27">
        <v>17.510000000000002</v>
      </c>
      <c r="C27" s="27">
        <v>30599</v>
      </c>
      <c r="D27" s="28">
        <v>43.138975027557699</v>
      </c>
      <c r="E27" s="28">
        <v>321.29369797218999</v>
      </c>
      <c r="F27" s="29">
        <v>1.2010000000000001</v>
      </c>
      <c r="G27" s="27" t="s">
        <v>12</v>
      </c>
      <c r="H27" s="27" t="s">
        <v>79</v>
      </c>
      <c r="I27" s="27" t="s">
        <v>80</v>
      </c>
      <c r="J27" s="30">
        <v>3.5579999999999998</v>
      </c>
      <c r="K27" s="27" t="s">
        <v>361</v>
      </c>
      <c r="L27" s="27" t="s">
        <v>362</v>
      </c>
      <c r="M27" s="27" t="s">
        <v>393</v>
      </c>
      <c r="N27" s="27" t="s">
        <v>401</v>
      </c>
      <c r="Q27" t="str">
        <f t="shared" si="0"/>
        <v/>
      </c>
    </row>
    <row r="28" spans="1:17" hidden="1" x14ac:dyDescent="0.3">
      <c r="A28" s="27" t="s">
        <v>274</v>
      </c>
      <c r="B28" s="27">
        <v>18.95</v>
      </c>
      <c r="C28" s="27">
        <v>31408</v>
      </c>
      <c r="D28" s="28">
        <v>10.842288639269199</v>
      </c>
      <c r="E28" s="28">
        <v>71.770235142047596</v>
      </c>
      <c r="F28" s="29">
        <v>0.21099999999999999</v>
      </c>
      <c r="G28" s="27" t="s">
        <v>12</v>
      </c>
      <c r="H28" s="27" t="s">
        <v>81</v>
      </c>
      <c r="I28" s="27" t="s">
        <v>189</v>
      </c>
      <c r="J28" s="30">
        <v>65.188000000000002</v>
      </c>
      <c r="K28" s="27" t="s">
        <v>361</v>
      </c>
      <c r="L28" s="27" t="s">
        <v>362</v>
      </c>
      <c r="M28" s="27" t="s">
        <v>405</v>
      </c>
      <c r="N28" s="27" t="s">
        <v>437</v>
      </c>
      <c r="Q28" t="str">
        <f t="shared" si="0"/>
        <v/>
      </c>
    </row>
    <row r="29" spans="1:17" hidden="1" x14ac:dyDescent="0.3">
      <c r="A29" s="27" t="s">
        <v>275</v>
      </c>
      <c r="B29" s="27">
        <v>18.62</v>
      </c>
      <c r="C29" s="27">
        <v>34346</v>
      </c>
      <c r="D29" s="28">
        <v>17.568318201375899</v>
      </c>
      <c r="E29" s="28">
        <v>97.782207386491507</v>
      </c>
      <c r="F29" s="29">
        <v>0.223</v>
      </c>
      <c r="G29" s="27" t="s">
        <v>12</v>
      </c>
      <c r="H29" s="27" t="s">
        <v>82</v>
      </c>
      <c r="I29" s="27" t="s">
        <v>173</v>
      </c>
      <c r="J29" s="30">
        <v>35.676000000000002</v>
      </c>
      <c r="K29" s="27" t="s">
        <v>361</v>
      </c>
      <c r="L29" s="27" t="s">
        <v>362</v>
      </c>
      <c r="M29" s="27" t="s">
        <v>367</v>
      </c>
      <c r="Q29" t="str">
        <f t="shared" si="0"/>
        <v/>
      </c>
    </row>
    <row r="30" spans="1:17" hidden="1" x14ac:dyDescent="0.3">
      <c r="A30" s="27" t="s">
        <v>276</v>
      </c>
      <c r="B30" s="27">
        <v>53.79</v>
      </c>
      <c r="C30" s="27">
        <v>36473</v>
      </c>
      <c r="D30" s="28">
        <v>54.746417815368602</v>
      </c>
      <c r="E30" s="28">
        <v>176.94043486903701</v>
      </c>
      <c r="F30" s="29">
        <v>1.1200000000000001</v>
      </c>
      <c r="G30" s="27" t="s">
        <v>12</v>
      </c>
      <c r="H30" s="32" t="s">
        <v>83</v>
      </c>
      <c r="I30" s="27" t="s">
        <v>21</v>
      </c>
      <c r="J30" s="30">
        <v>5.923</v>
      </c>
      <c r="K30" s="27" t="s">
        <v>361</v>
      </c>
      <c r="L30" s="27" t="s">
        <v>362</v>
      </c>
      <c r="M30" s="27" t="s">
        <v>392</v>
      </c>
      <c r="N30" s="27" t="s">
        <v>483</v>
      </c>
      <c r="Q30" t="str">
        <f t="shared" si="0"/>
        <v/>
      </c>
    </row>
    <row r="31" spans="1:17" hidden="1" x14ac:dyDescent="0.3">
      <c r="A31" s="27" t="s">
        <v>277</v>
      </c>
      <c r="B31" s="27">
        <v>9.19</v>
      </c>
      <c r="C31" s="27">
        <v>37706</v>
      </c>
      <c r="D31" s="31">
        <v>64.202862084006696</v>
      </c>
      <c r="E31" s="28">
        <v>426.34483687478797</v>
      </c>
      <c r="F31" s="29">
        <v>1.6759999999999999</v>
      </c>
      <c r="G31" s="27" t="s">
        <v>12</v>
      </c>
      <c r="H31" s="32" t="s">
        <v>190</v>
      </c>
      <c r="I31" s="27" t="s">
        <v>191</v>
      </c>
      <c r="J31" s="30">
        <v>5.6429999999999998</v>
      </c>
      <c r="K31" s="27" t="s">
        <v>361</v>
      </c>
      <c r="L31" s="27" t="s">
        <v>362</v>
      </c>
      <c r="M31" s="27" t="s">
        <v>368</v>
      </c>
      <c r="Q31" t="str">
        <f t="shared" si="0"/>
        <v/>
      </c>
    </row>
    <row r="32" spans="1:17" hidden="1" x14ac:dyDescent="0.3">
      <c r="A32" s="27" t="s">
        <v>278</v>
      </c>
      <c r="B32" s="27">
        <v>152.01</v>
      </c>
      <c r="C32" s="27">
        <v>39207</v>
      </c>
      <c r="D32" s="28">
        <v>21.4575719355534</v>
      </c>
      <c r="E32" s="28">
        <v>77.888274924273304</v>
      </c>
      <c r="F32" s="29">
        <v>0.34699999999999998</v>
      </c>
      <c r="G32" s="13" t="s">
        <v>15</v>
      </c>
      <c r="H32" s="27" t="s">
        <v>84</v>
      </c>
      <c r="I32" s="27" t="s">
        <v>85</v>
      </c>
      <c r="J32" s="30">
        <v>2.27</v>
      </c>
      <c r="K32" s="27" t="s">
        <v>361</v>
      </c>
      <c r="L32" s="27" t="s">
        <v>362</v>
      </c>
      <c r="M32" s="27" t="s">
        <v>405</v>
      </c>
      <c r="N32" s="27" t="s">
        <v>438</v>
      </c>
      <c r="Q32" t="str">
        <f t="shared" si="0"/>
        <v/>
      </c>
    </row>
    <row r="33" spans="1:17" hidden="1" x14ac:dyDescent="0.3">
      <c r="A33" s="27" t="s">
        <v>279</v>
      </c>
      <c r="B33" s="27">
        <v>9.58</v>
      </c>
      <c r="C33" s="27">
        <v>40923</v>
      </c>
      <c r="D33" s="28">
        <v>19.104970436241398</v>
      </c>
      <c r="E33" s="28">
        <v>177.51509421188101</v>
      </c>
      <c r="F33" s="29">
        <v>1.111</v>
      </c>
      <c r="G33" s="27" t="s">
        <v>12</v>
      </c>
      <c r="H33" s="27" t="s">
        <v>86</v>
      </c>
      <c r="I33" s="27" t="s">
        <v>192</v>
      </c>
      <c r="J33" s="30">
        <v>3.1059999999999999</v>
      </c>
      <c r="K33" s="27" t="s">
        <v>361</v>
      </c>
      <c r="L33" s="27" t="s">
        <v>362</v>
      </c>
      <c r="M33" s="27" t="s">
        <v>155</v>
      </c>
      <c r="N33" s="27" t="s">
        <v>350</v>
      </c>
      <c r="O33" s="27">
        <v>34</v>
      </c>
      <c r="Q33" t="str">
        <f t="shared" si="0"/>
        <v/>
      </c>
    </row>
    <row r="34" spans="1:17" hidden="1" x14ac:dyDescent="0.3">
      <c r="A34" s="27" t="s">
        <v>288</v>
      </c>
      <c r="B34" s="27">
        <v>111.56</v>
      </c>
      <c r="C34" s="27">
        <v>62884</v>
      </c>
      <c r="D34" s="28">
        <v>4.3083413457350996</v>
      </c>
      <c r="E34" s="28">
        <v>78.240685029432399</v>
      </c>
      <c r="F34" s="29">
        <v>0.05</v>
      </c>
      <c r="G34" s="13" t="s">
        <v>15</v>
      </c>
      <c r="H34" s="27" t="s">
        <v>99</v>
      </c>
      <c r="I34" s="27" t="s">
        <v>100</v>
      </c>
      <c r="J34" s="30">
        <v>28.51</v>
      </c>
      <c r="K34" s="27" t="s">
        <v>362</v>
      </c>
      <c r="L34" s="27" t="s">
        <v>361</v>
      </c>
      <c r="M34" s="27" t="s">
        <v>30</v>
      </c>
      <c r="N34" s="27" t="s">
        <v>452</v>
      </c>
      <c r="Q34" t="str">
        <f t="shared" si="0"/>
        <v/>
      </c>
    </row>
    <row r="35" spans="1:17" hidden="1" x14ac:dyDescent="0.3">
      <c r="A35" s="27" t="s">
        <v>289</v>
      </c>
      <c r="B35" s="27">
        <v>20.54</v>
      </c>
      <c r="C35" s="27">
        <v>64765</v>
      </c>
      <c r="D35" s="28">
        <v>2.7796262404373602</v>
      </c>
      <c r="E35" s="28">
        <v>100.331651325355</v>
      </c>
      <c r="F35" s="29">
        <v>0.113</v>
      </c>
      <c r="G35" s="13" t="s">
        <v>15</v>
      </c>
      <c r="H35" s="27" t="s">
        <v>101</v>
      </c>
      <c r="I35" s="27" t="s">
        <v>102</v>
      </c>
      <c r="J35" s="30">
        <v>7.55</v>
      </c>
      <c r="K35" s="27" t="s">
        <v>361</v>
      </c>
      <c r="L35" s="27" t="s">
        <v>361</v>
      </c>
      <c r="M35" s="27" t="s">
        <v>30</v>
      </c>
      <c r="N35" s="27" t="s">
        <v>453</v>
      </c>
      <c r="Q35" t="str">
        <f t="shared" si="0"/>
        <v/>
      </c>
    </row>
    <row r="36" spans="1:17" hidden="1" x14ac:dyDescent="0.3">
      <c r="A36" s="27" t="s">
        <v>290</v>
      </c>
      <c r="B36" s="27">
        <v>10.72</v>
      </c>
      <c r="C36" s="27">
        <v>65778</v>
      </c>
      <c r="D36" s="28">
        <v>37.881339383973099</v>
      </c>
      <c r="E36" s="28">
        <v>164.32655170715299</v>
      </c>
      <c r="F36" s="29">
        <v>1.1850000000000001</v>
      </c>
      <c r="G36" s="27" t="s">
        <v>12</v>
      </c>
      <c r="H36" s="27" t="s">
        <v>103</v>
      </c>
      <c r="I36" s="27" t="s">
        <v>195</v>
      </c>
      <c r="J36" s="30">
        <v>3.4039999999999999</v>
      </c>
      <c r="K36" s="27" t="s">
        <v>361</v>
      </c>
      <c r="L36" s="27" t="s">
        <v>399</v>
      </c>
      <c r="M36" s="27" t="s">
        <v>376</v>
      </c>
      <c r="N36" s="27" t="s">
        <v>408</v>
      </c>
      <c r="Q36" t="str">
        <f t="shared" si="0"/>
        <v/>
      </c>
    </row>
    <row r="37" spans="1:17" hidden="1" x14ac:dyDescent="0.3">
      <c r="A37" s="27" t="s">
        <v>294</v>
      </c>
      <c r="B37" s="27">
        <v>71.599999999999994</v>
      </c>
      <c r="C37" s="27">
        <v>90336</v>
      </c>
      <c r="D37" s="28">
        <v>28.9566888948941</v>
      </c>
      <c r="E37" s="28">
        <v>89.208385083805098</v>
      </c>
      <c r="F37" s="29">
        <v>0.437</v>
      </c>
      <c r="G37" s="13" t="s">
        <v>15</v>
      </c>
      <c r="H37" s="27" t="s">
        <v>109</v>
      </c>
      <c r="I37" s="27" t="s">
        <v>110</v>
      </c>
      <c r="J37" s="30">
        <v>6.68</v>
      </c>
      <c r="K37" s="27" t="s">
        <v>361</v>
      </c>
      <c r="L37" s="27" t="s">
        <v>361</v>
      </c>
      <c r="M37" s="27" t="s">
        <v>395</v>
      </c>
      <c r="N37" s="27" t="s">
        <v>463</v>
      </c>
      <c r="Q37" t="str">
        <f t="shared" si="0"/>
        <v/>
      </c>
    </row>
    <row r="38" spans="1:17" hidden="1" x14ac:dyDescent="0.3">
      <c r="A38" s="27" t="s">
        <v>295</v>
      </c>
      <c r="B38" s="27">
        <v>8.6999999999999993</v>
      </c>
      <c r="C38" s="27">
        <v>94173</v>
      </c>
      <c r="D38" s="28">
        <v>61.210516372827598</v>
      </c>
      <c r="E38" s="31">
        <v>245.37385040029699</v>
      </c>
      <c r="F38" s="29">
        <v>1.5069999999999999</v>
      </c>
      <c r="G38" s="27" t="s">
        <v>12</v>
      </c>
      <c r="H38" s="27" t="s">
        <v>111</v>
      </c>
      <c r="I38" s="27" t="s">
        <v>57</v>
      </c>
      <c r="J38" s="30">
        <v>8.5670000000000002</v>
      </c>
      <c r="K38" s="27" t="s">
        <v>361</v>
      </c>
      <c r="L38" s="27" t="s">
        <v>361</v>
      </c>
      <c r="M38" s="27" t="s">
        <v>391</v>
      </c>
      <c r="N38" s="27" t="s">
        <v>412</v>
      </c>
      <c r="Q38" t="str">
        <f t="shared" si="0"/>
        <v/>
      </c>
    </row>
    <row r="39" spans="1:17" hidden="1" x14ac:dyDescent="0.3">
      <c r="A39" s="27" t="s">
        <v>296</v>
      </c>
      <c r="B39" s="27">
        <v>147.94999999999999</v>
      </c>
      <c r="C39" s="27">
        <v>103303</v>
      </c>
      <c r="D39" s="28">
        <v>60.242169194022097</v>
      </c>
      <c r="E39" s="28">
        <v>154.55262373423301</v>
      </c>
      <c r="F39" s="29">
        <v>1.1879999999999999</v>
      </c>
      <c r="G39" s="27" t="s">
        <v>12</v>
      </c>
      <c r="H39" s="27" t="s">
        <v>112</v>
      </c>
      <c r="I39" s="27" t="s">
        <v>196</v>
      </c>
      <c r="J39" s="30">
        <v>41.506999999999998</v>
      </c>
      <c r="K39" s="27" t="s">
        <v>362</v>
      </c>
      <c r="L39" s="27" t="s">
        <v>361</v>
      </c>
      <c r="M39" s="27" t="s">
        <v>376</v>
      </c>
      <c r="N39" s="27" t="s">
        <v>409</v>
      </c>
      <c r="O39" s="27">
        <v>35</v>
      </c>
      <c r="Q39" t="str">
        <f t="shared" si="0"/>
        <v/>
      </c>
    </row>
    <row r="40" spans="1:17" hidden="1" x14ac:dyDescent="0.3">
      <c r="A40" s="27" t="s">
        <v>297</v>
      </c>
      <c r="B40" s="27">
        <v>14.95</v>
      </c>
      <c r="C40" s="27">
        <v>103440</v>
      </c>
      <c r="D40" s="28">
        <v>16.128500093019401</v>
      </c>
      <c r="E40" s="28">
        <v>237.09370318524299</v>
      </c>
      <c r="F40" s="29">
        <v>1.091</v>
      </c>
      <c r="G40" s="27" t="s">
        <v>12</v>
      </c>
      <c r="H40" s="27" t="s">
        <v>113</v>
      </c>
      <c r="I40" s="27" t="s">
        <v>197</v>
      </c>
      <c r="J40" s="30">
        <v>6.2610000000000001</v>
      </c>
      <c r="K40" s="27" t="s">
        <v>361</v>
      </c>
      <c r="L40" s="27" t="s">
        <v>361</v>
      </c>
      <c r="M40" s="27" t="s">
        <v>392</v>
      </c>
      <c r="N40" s="27" t="s">
        <v>476</v>
      </c>
      <c r="Q40" t="str">
        <f t="shared" si="0"/>
        <v/>
      </c>
    </row>
    <row r="41" spans="1:17" hidden="1" x14ac:dyDescent="0.3">
      <c r="A41" s="27" t="s">
        <v>298</v>
      </c>
      <c r="B41" s="27">
        <v>80.28</v>
      </c>
      <c r="C41" s="27">
        <v>106194</v>
      </c>
      <c r="D41" s="28">
        <v>56.848199441331303</v>
      </c>
      <c r="E41" s="28">
        <v>187.21601145922801</v>
      </c>
      <c r="F41" s="29">
        <v>1.0940000000000001</v>
      </c>
      <c r="G41" s="27" t="s">
        <v>12</v>
      </c>
      <c r="H41" s="27" t="s">
        <v>114</v>
      </c>
      <c r="I41" s="27" t="s">
        <v>198</v>
      </c>
      <c r="J41" s="30">
        <v>29.37</v>
      </c>
      <c r="K41" s="27" t="s">
        <v>361</v>
      </c>
      <c r="L41" s="27" t="s">
        <v>361</v>
      </c>
      <c r="M41" s="27" t="s">
        <v>393</v>
      </c>
      <c r="N41" s="27" t="s">
        <v>400</v>
      </c>
      <c r="Q41" t="str">
        <f t="shared" si="0"/>
        <v/>
      </c>
    </row>
    <row r="42" spans="1:17" hidden="1" x14ac:dyDescent="0.3">
      <c r="A42" s="27" t="s">
        <v>299</v>
      </c>
      <c r="B42" s="27">
        <v>80.790000000000006</v>
      </c>
      <c r="C42" s="27">
        <v>117619</v>
      </c>
      <c r="D42" s="28">
        <v>16.782530361933301</v>
      </c>
      <c r="E42" s="28">
        <v>69.666862726746004</v>
      </c>
      <c r="F42" s="29">
        <v>0.34899999999999998</v>
      </c>
      <c r="G42" s="13" t="s">
        <v>15</v>
      </c>
      <c r="H42" s="27" t="s">
        <v>115</v>
      </c>
      <c r="I42" s="27" t="s">
        <v>116</v>
      </c>
      <c r="J42" s="30">
        <v>6.06</v>
      </c>
      <c r="K42" s="27" t="s">
        <v>361</v>
      </c>
      <c r="L42" s="27" t="s">
        <v>361</v>
      </c>
      <c r="M42" s="27" t="s">
        <v>395</v>
      </c>
      <c r="N42" s="27" t="s">
        <v>464</v>
      </c>
      <c r="Q42" t="str">
        <f t="shared" si="0"/>
        <v/>
      </c>
    </row>
    <row r="43" spans="1:17" hidden="1" x14ac:dyDescent="0.3">
      <c r="A43" s="27" t="s">
        <v>302</v>
      </c>
      <c r="B43" s="27">
        <v>14.64</v>
      </c>
      <c r="C43" s="27">
        <v>156778</v>
      </c>
      <c r="D43" s="28">
        <v>60.472348723541302</v>
      </c>
      <c r="E43" s="28">
        <v>268.428397420723</v>
      </c>
      <c r="F43" s="29">
        <v>1.089</v>
      </c>
      <c r="G43" s="27" t="s">
        <v>12</v>
      </c>
      <c r="H43" s="27" t="s">
        <v>121</v>
      </c>
      <c r="I43" s="27" t="s">
        <v>147</v>
      </c>
      <c r="J43" s="30">
        <v>5.7839999999999998</v>
      </c>
      <c r="K43" s="27" t="s">
        <v>361</v>
      </c>
      <c r="L43" s="27" t="s">
        <v>361</v>
      </c>
      <c r="M43" s="27" t="s">
        <v>392</v>
      </c>
      <c r="N43" s="27" t="s">
        <v>477</v>
      </c>
      <c r="Q43" t="str">
        <f t="shared" si="0"/>
        <v/>
      </c>
    </row>
    <row r="44" spans="1:17" hidden="1" x14ac:dyDescent="0.3">
      <c r="A44" s="27" t="s">
        <v>306</v>
      </c>
      <c r="B44" s="27">
        <v>32.72</v>
      </c>
      <c r="C44" s="27">
        <v>187299</v>
      </c>
      <c r="D44" s="28">
        <v>13.3044247072988</v>
      </c>
      <c r="E44" s="28">
        <v>75.237227447740594</v>
      </c>
      <c r="F44" s="29">
        <v>0.317</v>
      </c>
      <c r="G44" s="13" t="s">
        <v>15</v>
      </c>
      <c r="H44" s="27" t="s">
        <v>128</v>
      </c>
      <c r="I44" s="27" t="s">
        <v>129</v>
      </c>
      <c r="J44" s="30">
        <v>8.65</v>
      </c>
      <c r="K44" s="27" t="s">
        <v>361</v>
      </c>
      <c r="L44" s="27" t="s">
        <v>361</v>
      </c>
      <c r="M44" s="27" t="s">
        <v>375</v>
      </c>
      <c r="N44" s="27" t="s">
        <v>232</v>
      </c>
      <c r="Q44" t="str">
        <f t="shared" si="0"/>
        <v/>
      </c>
    </row>
    <row r="45" spans="1:17" hidden="1" x14ac:dyDescent="0.3">
      <c r="A45" s="27" t="s">
        <v>308</v>
      </c>
      <c r="B45" s="27">
        <v>36.33</v>
      </c>
      <c r="C45" s="27">
        <v>198130</v>
      </c>
      <c r="D45" s="28">
        <v>31.398189793594099</v>
      </c>
      <c r="E45" s="28">
        <v>94.235841197870499</v>
      </c>
      <c r="F45" s="29">
        <v>0.70299999999999996</v>
      </c>
      <c r="G45" s="13" t="s">
        <v>15</v>
      </c>
      <c r="H45" s="27" t="s">
        <v>132</v>
      </c>
      <c r="I45" s="27" t="s">
        <v>133</v>
      </c>
      <c r="J45" s="30">
        <v>5.13</v>
      </c>
      <c r="K45" s="27" t="s">
        <v>361</v>
      </c>
      <c r="L45" s="27" t="s">
        <v>361</v>
      </c>
      <c r="M45" s="27" t="s">
        <v>386</v>
      </c>
      <c r="N45" s="27" t="s">
        <v>404</v>
      </c>
      <c r="Q45" t="str">
        <f t="shared" si="0"/>
        <v/>
      </c>
    </row>
    <row r="46" spans="1:17" hidden="1" x14ac:dyDescent="0.3">
      <c r="A46" s="27" t="s">
        <v>309</v>
      </c>
      <c r="B46" s="27">
        <v>13.46</v>
      </c>
      <c r="C46" s="27">
        <v>237768</v>
      </c>
      <c r="D46" s="28">
        <v>72.943362444383794</v>
      </c>
      <c r="E46" s="28">
        <v>144.58977622145201</v>
      </c>
      <c r="F46" s="29">
        <v>1.141</v>
      </c>
      <c r="G46" s="27" t="s">
        <v>12</v>
      </c>
      <c r="H46" s="27" t="s">
        <v>134</v>
      </c>
      <c r="I46" s="27" t="s">
        <v>199</v>
      </c>
      <c r="J46" s="30">
        <v>4.0750000000000002</v>
      </c>
      <c r="K46" s="27" t="s">
        <v>361</v>
      </c>
      <c r="L46" s="27" t="s">
        <v>361</v>
      </c>
      <c r="M46" s="27" t="s">
        <v>376</v>
      </c>
      <c r="N46" s="27" t="s">
        <v>410</v>
      </c>
      <c r="Q46" t="str">
        <f t="shared" si="0"/>
        <v/>
      </c>
    </row>
    <row r="47" spans="1:17" hidden="1" x14ac:dyDescent="0.3">
      <c r="A47" s="27" t="s">
        <v>315</v>
      </c>
      <c r="B47" s="27">
        <v>87.9</v>
      </c>
      <c r="C47" s="27">
        <v>397851</v>
      </c>
      <c r="D47" s="28">
        <v>24.7642315997665</v>
      </c>
      <c r="E47" s="28">
        <v>185.777772312781</v>
      </c>
      <c r="F47" s="29">
        <v>1.149</v>
      </c>
      <c r="G47" s="27" t="s">
        <v>12</v>
      </c>
      <c r="H47" s="27" t="s">
        <v>200</v>
      </c>
      <c r="I47" s="27" t="s">
        <v>201</v>
      </c>
      <c r="J47" s="30">
        <v>45.87</v>
      </c>
      <c r="K47" s="27" t="s">
        <v>361</v>
      </c>
      <c r="L47" s="27" t="s">
        <v>361</v>
      </c>
      <c r="M47" s="27" t="s">
        <v>164</v>
      </c>
      <c r="N47" s="27" t="s">
        <v>471</v>
      </c>
      <c r="Q47" t="str">
        <f t="shared" si="0"/>
        <v/>
      </c>
    </row>
    <row r="48" spans="1:17" hidden="1" x14ac:dyDescent="0.3">
      <c r="A48" s="27" t="s">
        <v>316</v>
      </c>
      <c r="B48" s="31">
        <v>50.86</v>
      </c>
      <c r="C48" s="27">
        <v>549000</v>
      </c>
      <c r="D48" s="31">
        <v>25.71</v>
      </c>
      <c r="E48" s="31">
        <v>78.37</v>
      </c>
      <c r="F48" s="33">
        <v>0.36199999999999999</v>
      </c>
      <c r="G48" s="27" t="s">
        <v>12</v>
      </c>
      <c r="H48" s="27" t="s">
        <v>152</v>
      </c>
      <c r="I48" s="27" t="s">
        <v>202</v>
      </c>
      <c r="J48" s="30">
        <v>76.052999999999997</v>
      </c>
      <c r="K48" s="27" t="s">
        <v>361</v>
      </c>
      <c r="L48" s="27" t="s">
        <v>361</v>
      </c>
      <c r="M48" s="27" t="s">
        <v>405</v>
      </c>
      <c r="N48" s="27" t="s">
        <v>439</v>
      </c>
      <c r="Q48" t="str">
        <f t="shared" si="0"/>
        <v/>
      </c>
    </row>
    <row r="49" spans="1:17" x14ac:dyDescent="0.3">
      <c r="A49" s="27" t="s">
        <v>319</v>
      </c>
      <c r="B49" s="31">
        <v>49.92</v>
      </c>
      <c r="C49" s="27">
        <v>700000</v>
      </c>
      <c r="D49" s="31">
        <v>49.45</v>
      </c>
      <c r="E49" s="31">
        <v>111.97</v>
      </c>
      <c r="F49" s="33">
        <v>0.747</v>
      </c>
      <c r="G49" s="27" t="s">
        <v>12</v>
      </c>
      <c r="H49" s="27" t="s">
        <v>145</v>
      </c>
      <c r="I49" s="27" t="s">
        <v>57</v>
      </c>
      <c r="J49" s="30">
        <v>19.513999999999999</v>
      </c>
      <c r="K49" s="27" t="s">
        <v>361</v>
      </c>
      <c r="L49" s="27" t="s">
        <v>361</v>
      </c>
      <c r="M49" s="27" t="s">
        <v>391</v>
      </c>
      <c r="N49" s="27" t="s">
        <v>411</v>
      </c>
      <c r="O49" s="27">
        <v>36</v>
      </c>
      <c r="P49" s="27" t="s">
        <v>389</v>
      </c>
      <c r="Q49" t="str">
        <f t="shared" si="0"/>
        <v>Biotech</v>
      </c>
    </row>
    <row r="50" spans="1:17" x14ac:dyDescent="0.3">
      <c r="A50" s="27" t="s">
        <v>320</v>
      </c>
      <c r="B50" s="31">
        <v>15.61</v>
      </c>
      <c r="C50" s="27">
        <v>712000</v>
      </c>
      <c r="D50" s="31">
        <v>64.73</v>
      </c>
      <c r="E50" s="31">
        <v>119.62</v>
      </c>
      <c r="F50" s="33">
        <v>0.92100000000000004</v>
      </c>
      <c r="G50" s="27" t="s">
        <v>12</v>
      </c>
      <c r="H50" s="27" t="s">
        <v>146</v>
      </c>
      <c r="I50" s="27" t="s">
        <v>147</v>
      </c>
      <c r="J50" s="30">
        <v>5.8040000000000003</v>
      </c>
      <c r="K50" s="27" t="s">
        <v>361</v>
      </c>
      <c r="L50" s="27" t="s">
        <v>361</v>
      </c>
      <c r="M50" s="27" t="s">
        <v>392</v>
      </c>
      <c r="N50" s="27" t="s">
        <v>478</v>
      </c>
      <c r="O50" s="27">
        <v>37</v>
      </c>
      <c r="P50" s="27" t="s">
        <v>389</v>
      </c>
      <c r="Q50" t="str">
        <f t="shared" si="0"/>
        <v>Bitcoin m.</v>
      </c>
    </row>
    <row r="51" spans="1:17" hidden="1" x14ac:dyDescent="0.3">
      <c r="A51" s="27" t="s">
        <v>323</v>
      </c>
      <c r="B51" s="31">
        <v>8</v>
      </c>
      <c r="C51" s="27">
        <v>1740000</v>
      </c>
      <c r="D51" s="31">
        <v>56.68</v>
      </c>
      <c r="E51" s="31">
        <v>130.19</v>
      </c>
      <c r="F51" s="33">
        <v>0.97499999999999998</v>
      </c>
      <c r="G51" s="27" t="s">
        <v>12</v>
      </c>
      <c r="H51" s="27" t="s">
        <v>204</v>
      </c>
      <c r="I51" s="27" t="s">
        <v>21</v>
      </c>
      <c r="J51" s="30">
        <v>3.0219999999999998</v>
      </c>
      <c r="K51" s="27" t="s">
        <v>361</v>
      </c>
      <c r="L51" s="27" t="s">
        <v>361</v>
      </c>
      <c r="M51" s="27" t="s">
        <v>392</v>
      </c>
      <c r="N51" s="27" t="s">
        <v>479</v>
      </c>
      <c r="Q51" t="str">
        <f t="shared" si="0"/>
        <v/>
      </c>
    </row>
    <row r="52" spans="1:17" hidden="1" x14ac:dyDescent="0.3">
      <c r="A52" s="27" t="s">
        <v>326</v>
      </c>
      <c r="B52" s="31">
        <v>199.9</v>
      </c>
      <c r="C52" s="27">
        <v>2450000</v>
      </c>
      <c r="D52" s="31">
        <v>36</v>
      </c>
      <c r="E52" s="31">
        <v>91.12</v>
      </c>
      <c r="F52" s="33">
        <v>0.55100000000000005</v>
      </c>
      <c r="G52" s="27" t="s">
        <v>12</v>
      </c>
      <c r="H52" s="27" t="s">
        <v>160</v>
      </c>
      <c r="I52" s="27" t="s">
        <v>161</v>
      </c>
      <c r="J52" s="30">
        <v>325.91899999999998</v>
      </c>
      <c r="K52" s="27" t="s">
        <v>362</v>
      </c>
      <c r="L52" s="27" t="s">
        <v>361</v>
      </c>
      <c r="M52" s="27" t="s">
        <v>161</v>
      </c>
      <c r="N52" s="27" t="s">
        <v>419</v>
      </c>
      <c r="Q52" t="str">
        <f t="shared" si="0"/>
        <v/>
      </c>
    </row>
    <row r="53" spans="1:17" hidden="1" x14ac:dyDescent="0.3">
      <c r="A53" s="27" t="s">
        <v>327</v>
      </c>
      <c r="B53" s="31">
        <v>134.55000000000001</v>
      </c>
      <c r="C53" s="27">
        <v>3090000</v>
      </c>
      <c r="D53" s="31">
        <v>33.049999999999997</v>
      </c>
      <c r="E53" s="31">
        <v>116.15</v>
      </c>
      <c r="F53" s="33">
        <v>0.51800000000000002</v>
      </c>
      <c r="G53" s="27" t="s">
        <v>12</v>
      </c>
      <c r="H53" s="27" t="s">
        <v>163</v>
      </c>
      <c r="I53" s="27" t="s">
        <v>164</v>
      </c>
      <c r="J53" s="30">
        <v>321.66500000000002</v>
      </c>
      <c r="K53" s="27" t="s">
        <v>362</v>
      </c>
      <c r="L53" s="27" t="s">
        <v>361</v>
      </c>
      <c r="M53" s="27" t="s">
        <v>164</v>
      </c>
      <c r="N53" s="27" t="s">
        <v>472</v>
      </c>
      <c r="O53" s="27">
        <v>38</v>
      </c>
      <c r="Q53" t="str">
        <f t="shared" si="0"/>
        <v/>
      </c>
    </row>
    <row r="54" spans="1:17" hidden="1" x14ac:dyDescent="0.3">
      <c r="A54" s="27" t="s">
        <v>328</v>
      </c>
      <c r="B54" s="31">
        <v>264.39999999999998</v>
      </c>
      <c r="C54" s="27">
        <v>3750000</v>
      </c>
      <c r="D54" s="31">
        <v>16.739999999999998</v>
      </c>
      <c r="E54" s="31">
        <v>66.98</v>
      </c>
      <c r="F54" s="33">
        <v>0.247</v>
      </c>
      <c r="G54" s="27" t="s">
        <v>12</v>
      </c>
      <c r="H54" s="27" t="s">
        <v>205</v>
      </c>
      <c r="I54" s="27" t="s">
        <v>206</v>
      </c>
      <c r="J54" s="30">
        <v>3887.3939999999998</v>
      </c>
      <c r="K54" s="27" t="s">
        <v>362</v>
      </c>
      <c r="L54" s="27" t="s">
        <v>361</v>
      </c>
      <c r="M54" s="27" t="s">
        <v>395</v>
      </c>
      <c r="N54" s="27" t="s">
        <v>465</v>
      </c>
      <c r="O54" s="27">
        <v>39</v>
      </c>
      <c r="Q54" t="str">
        <f t="shared" si="0"/>
        <v/>
      </c>
    </row>
    <row r="55" spans="1:17" x14ac:dyDescent="0.3">
      <c r="A55" s="27" t="s">
        <v>330</v>
      </c>
      <c r="B55" s="31">
        <v>44.01</v>
      </c>
      <c r="C55" s="27">
        <v>4550000</v>
      </c>
      <c r="D55" s="31">
        <v>36.86</v>
      </c>
      <c r="E55" s="31">
        <v>95.14</v>
      </c>
      <c r="F55" s="33">
        <v>0.56999999999999995</v>
      </c>
      <c r="G55" s="27" t="s">
        <v>12</v>
      </c>
      <c r="H55" s="27" t="s">
        <v>209</v>
      </c>
      <c r="I55" s="27" t="s">
        <v>161</v>
      </c>
      <c r="J55" s="30">
        <v>219.83</v>
      </c>
      <c r="K55" s="27" t="s">
        <v>361</v>
      </c>
      <c r="L55" s="27" t="s">
        <v>361</v>
      </c>
      <c r="M55" s="27" t="s">
        <v>161</v>
      </c>
      <c r="N55" s="27" t="s">
        <v>417</v>
      </c>
      <c r="O55" s="27">
        <v>40</v>
      </c>
      <c r="P55" s="27" t="s">
        <v>389</v>
      </c>
      <c r="Q55" t="str">
        <f t="shared" si="0"/>
        <v>Semiconductors</v>
      </c>
    </row>
    <row r="56" spans="1:17" hidden="1" x14ac:dyDescent="0.3">
      <c r="A56" s="27" t="s">
        <v>333</v>
      </c>
      <c r="B56" s="31">
        <v>190</v>
      </c>
      <c r="C56" s="27">
        <v>12400000</v>
      </c>
      <c r="D56" s="31">
        <v>30.48</v>
      </c>
      <c r="E56" s="31">
        <v>91.3</v>
      </c>
      <c r="F56" s="33">
        <v>0.48499999999999999</v>
      </c>
      <c r="G56" s="27" t="s">
        <v>12</v>
      </c>
      <c r="H56" s="27" t="s">
        <v>162</v>
      </c>
      <c r="I56" s="27" t="s">
        <v>161</v>
      </c>
      <c r="J56" s="30">
        <v>4617</v>
      </c>
      <c r="K56" s="27" t="s">
        <v>362</v>
      </c>
      <c r="L56" s="27" t="s">
        <v>361</v>
      </c>
      <c r="M56" s="27" t="s">
        <v>161</v>
      </c>
      <c r="N56" s="27" t="s">
        <v>416</v>
      </c>
      <c r="O56" s="27">
        <v>41</v>
      </c>
      <c r="Q56" t="str">
        <f t="shared" si="0"/>
        <v/>
      </c>
    </row>
    <row r="57" spans="1:17" x14ac:dyDescent="0.3">
      <c r="A57" s="27" t="s">
        <v>336</v>
      </c>
      <c r="B57" s="31">
        <v>53</v>
      </c>
      <c r="C57" s="27">
        <v>1750000</v>
      </c>
      <c r="D57" s="31">
        <v>17.940000000000001</v>
      </c>
      <c r="E57" s="31">
        <v>67.67</v>
      </c>
      <c r="F57" s="33">
        <v>0.26500000000000001</v>
      </c>
      <c r="G57" s="27" t="s">
        <v>12</v>
      </c>
      <c r="H57" s="27"/>
      <c r="I57" s="27" t="s">
        <v>218</v>
      </c>
      <c r="J57" s="30">
        <v>382.26100000000002</v>
      </c>
      <c r="K57" s="27" t="s">
        <v>361</v>
      </c>
      <c r="L57" s="27" t="s">
        <v>361</v>
      </c>
      <c r="M57" s="27" t="s">
        <v>30</v>
      </c>
      <c r="N57" s="27" t="s">
        <v>454</v>
      </c>
      <c r="O57" s="27">
        <v>42</v>
      </c>
      <c r="P57" s="27" t="s">
        <v>389</v>
      </c>
      <c r="Q57" t="str">
        <f t="shared" si="0"/>
        <v>Financial</v>
      </c>
    </row>
    <row r="58" spans="1:17" hidden="1" x14ac:dyDescent="0.3">
      <c r="A58" s="27" t="s">
        <v>337</v>
      </c>
      <c r="B58" s="31">
        <v>28.76</v>
      </c>
      <c r="C58" s="27">
        <v>1430000</v>
      </c>
      <c r="D58" s="31">
        <v>15.91</v>
      </c>
      <c r="E58" s="31">
        <v>113.88</v>
      </c>
      <c r="F58" s="33">
        <v>0.35199999999999998</v>
      </c>
      <c r="G58" s="27" t="s">
        <v>12</v>
      </c>
      <c r="H58" s="27" t="s">
        <v>421</v>
      </c>
      <c r="I58" s="27" t="s">
        <v>219</v>
      </c>
      <c r="J58" s="30">
        <v>71.346000000000004</v>
      </c>
      <c r="K58" s="27" t="s">
        <v>361</v>
      </c>
      <c r="L58" s="27" t="s">
        <v>361</v>
      </c>
      <c r="M58" s="27" t="s">
        <v>422</v>
      </c>
      <c r="N58" s="27" t="s">
        <v>430</v>
      </c>
      <c r="Q58" t="str">
        <f t="shared" si="0"/>
        <v/>
      </c>
    </row>
    <row r="59" spans="1:17" hidden="1" x14ac:dyDescent="0.3">
      <c r="A59" s="27" t="s">
        <v>339</v>
      </c>
      <c r="B59" s="31">
        <v>149</v>
      </c>
      <c r="C59" s="27">
        <v>439000</v>
      </c>
      <c r="D59" s="31">
        <v>10.63</v>
      </c>
      <c r="E59" s="31">
        <v>95.64</v>
      </c>
      <c r="F59" s="33">
        <v>0.39</v>
      </c>
      <c r="G59" s="27" t="s">
        <v>12</v>
      </c>
      <c r="H59" s="27" t="s">
        <v>423</v>
      </c>
      <c r="I59" s="27" t="s">
        <v>216</v>
      </c>
      <c r="J59" s="30">
        <v>121.584</v>
      </c>
      <c r="K59" s="27" t="s">
        <v>362</v>
      </c>
      <c r="L59" s="27" t="s">
        <v>361</v>
      </c>
      <c r="M59" s="27" t="s">
        <v>216</v>
      </c>
      <c r="N59" s="27" t="s">
        <v>446</v>
      </c>
      <c r="Q59" t="str">
        <f t="shared" si="0"/>
        <v/>
      </c>
    </row>
    <row r="60" spans="1:17" hidden="1" x14ac:dyDescent="0.3">
      <c r="A60" s="27" t="s">
        <v>340</v>
      </c>
      <c r="B60" s="31">
        <v>78.58</v>
      </c>
      <c r="C60" s="27">
        <v>3590000</v>
      </c>
      <c r="D60" s="31">
        <v>23.99</v>
      </c>
      <c r="E60" s="31">
        <v>72.900000000000006</v>
      </c>
      <c r="F60" s="33">
        <v>0.39400000000000002</v>
      </c>
      <c r="G60" s="27" t="s">
        <v>12</v>
      </c>
      <c r="H60" s="27"/>
      <c r="I60" s="27" t="s">
        <v>216</v>
      </c>
      <c r="J60" s="30">
        <v>331.77800000000002</v>
      </c>
      <c r="K60" s="27" t="s">
        <v>361</v>
      </c>
      <c r="L60" s="27" t="s">
        <v>361</v>
      </c>
      <c r="M60" s="27" t="s">
        <v>422</v>
      </c>
      <c r="N60" s="27" t="s">
        <v>429</v>
      </c>
      <c r="O60" s="27">
        <v>43</v>
      </c>
      <c r="Q60" t="str">
        <f t="shared" si="0"/>
        <v/>
      </c>
    </row>
    <row r="61" spans="1:17" x14ac:dyDescent="0.3">
      <c r="A61" s="27" t="s">
        <v>341</v>
      </c>
      <c r="B61" s="31">
        <v>7.72</v>
      </c>
      <c r="C61" s="27">
        <v>601000</v>
      </c>
      <c r="D61" s="31">
        <v>13.83</v>
      </c>
      <c r="E61" s="31">
        <v>146.36000000000001</v>
      </c>
      <c r="F61" s="33">
        <v>0.41399999999999998</v>
      </c>
      <c r="G61" s="27" t="s">
        <v>12</v>
      </c>
      <c r="H61" s="27" t="s">
        <v>425</v>
      </c>
      <c r="I61" s="27" t="s">
        <v>193</v>
      </c>
      <c r="J61" s="30">
        <v>43.639000000000003</v>
      </c>
      <c r="K61" s="27" t="s">
        <v>361</v>
      </c>
      <c r="L61" s="27" t="s">
        <v>361</v>
      </c>
      <c r="M61" s="27" t="s">
        <v>395</v>
      </c>
      <c r="N61" s="27" t="s">
        <v>466</v>
      </c>
      <c r="O61" s="27">
        <v>44</v>
      </c>
      <c r="P61" s="27" t="s">
        <v>389</v>
      </c>
      <c r="Q61" t="str">
        <f t="shared" si="0"/>
        <v>Technology</v>
      </c>
    </row>
    <row r="62" spans="1:17" hidden="1" x14ac:dyDescent="0.3">
      <c r="A62" s="27" t="s">
        <v>343</v>
      </c>
      <c r="B62" s="31">
        <v>23.41</v>
      </c>
      <c r="C62" s="27">
        <v>950000</v>
      </c>
      <c r="D62" s="31">
        <v>33.07</v>
      </c>
      <c r="E62" s="31">
        <v>130.38999999999999</v>
      </c>
      <c r="F62" s="33">
        <v>0.46600000000000003</v>
      </c>
      <c r="G62" s="27" t="s">
        <v>12</v>
      </c>
      <c r="H62" s="27" t="s">
        <v>427</v>
      </c>
      <c r="I62" s="27" t="s">
        <v>221</v>
      </c>
      <c r="J62" s="30">
        <v>10.488</v>
      </c>
      <c r="K62" s="27" t="s">
        <v>361</v>
      </c>
      <c r="L62" s="27" t="s">
        <v>361</v>
      </c>
      <c r="M62" s="27" t="s">
        <v>422</v>
      </c>
      <c r="N62" s="27" t="s">
        <v>428</v>
      </c>
      <c r="Q62" t="str">
        <f t="shared" si="0"/>
        <v/>
      </c>
    </row>
    <row r="63" spans="1:17" hidden="1" x14ac:dyDescent="0.3">
      <c r="A63" s="27" t="s">
        <v>344</v>
      </c>
      <c r="B63" s="31">
        <v>154.54</v>
      </c>
      <c r="C63" s="27">
        <v>1440000</v>
      </c>
      <c r="D63" s="31">
        <v>29.89</v>
      </c>
      <c r="E63" s="31">
        <v>82.34</v>
      </c>
      <c r="F63" s="33">
        <v>0.46200000000000002</v>
      </c>
      <c r="G63" s="27" t="s">
        <v>12</v>
      </c>
      <c r="H63" s="27" t="s">
        <v>431</v>
      </c>
      <c r="I63" s="27" t="s">
        <v>216</v>
      </c>
      <c r="J63" s="30">
        <v>369.11799999999999</v>
      </c>
      <c r="K63" s="27" t="s">
        <v>362</v>
      </c>
      <c r="L63" s="27" t="s">
        <v>361</v>
      </c>
      <c r="M63" s="27" t="s">
        <v>216</v>
      </c>
      <c r="N63" s="27" t="s">
        <v>447</v>
      </c>
      <c r="O63" s="27">
        <v>45</v>
      </c>
      <c r="Q63" t="str">
        <f t="shared" si="0"/>
        <v/>
      </c>
    </row>
    <row r="64" spans="1:17" hidden="1" x14ac:dyDescent="0.3">
      <c r="A64" s="27" t="s">
        <v>345</v>
      </c>
      <c r="B64" s="31">
        <v>38.479999999999997</v>
      </c>
      <c r="C64" s="27">
        <v>5720000</v>
      </c>
      <c r="D64" s="31">
        <v>28.36</v>
      </c>
      <c r="E64" s="31">
        <v>102.07</v>
      </c>
      <c r="F64" s="33">
        <v>0.48599999999999999</v>
      </c>
      <c r="G64" s="13" t="s">
        <v>15</v>
      </c>
      <c r="H64" s="27" t="s">
        <v>432</v>
      </c>
      <c r="I64" s="27" t="s">
        <v>223</v>
      </c>
      <c r="K64" s="27" t="s">
        <v>361</v>
      </c>
      <c r="L64" s="27" t="s">
        <v>361</v>
      </c>
      <c r="M64" s="27" t="s">
        <v>392</v>
      </c>
      <c r="N64" s="27" t="s">
        <v>480</v>
      </c>
      <c r="Q64" t="str">
        <f t="shared" si="0"/>
        <v/>
      </c>
    </row>
    <row r="65" spans="1:17" x14ac:dyDescent="0.3">
      <c r="A65" s="27" t="s">
        <v>346</v>
      </c>
      <c r="B65" s="31">
        <v>80.900000000000006</v>
      </c>
      <c r="C65" s="27">
        <v>507000</v>
      </c>
      <c r="D65" s="31">
        <v>21.33</v>
      </c>
      <c r="E65" s="31">
        <v>69.88</v>
      </c>
      <c r="F65" s="33">
        <v>0.51200000000000001</v>
      </c>
      <c r="G65" s="13" t="s">
        <v>15</v>
      </c>
      <c r="H65" s="27" t="s">
        <v>433</v>
      </c>
      <c r="I65" s="27" t="s">
        <v>405</v>
      </c>
      <c r="J65" s="30">
        <v>1.04</v>
      </c>
      <c r="K65" s="27" t="s">
        <v>361</v>
      </c>
      <c r="L65" s="27" t="s">
        <v>361</v>
      </c>
      <c r="M65" s="27" t="s">
        <v>405</v>
      </c>
      <c r="N65" s="27" t="s">
        <v>434</v>
      </c>
      <c r="O65" s="27">
        <v>46</v>
      </c>
      <c r="P65" s="27" t="s">
        <v>15</v>
      </c>
      <c r="Q65" t="str">
        <f t="shared" si="0"/>
        <v>Commodities</v>
      </c>
    </row>
    <row r="66" spans="1:17" hidden="1" x14ac:dyDescent="0.3">
      <c r="A66" s="27" t="s">
        <v>347</v>
      </c>
      <c r="B66" s="31">
        <v>13.56</v>
      </c>
      <c r="C66" s="27">
        <v>1270000</v>
      </c>
      <c r="D66" s="31">
        <v>34.64</v>
      </c>
      <c r="E66" s="31">
        <v>93.86</v>
      </c>
      <c r="F66" s="33">
        <v>0.52800000000000002</v>
      </c>
      <c r="G66" s="27" t="s">
        <v>12</v>
      </c>
      <c r="H66" s="27" t="s">
        <v>440</v>
      </c>
      <c r="I66" s="27" t="s">
        <v>224</v>
      </c>
      <c r="J66" s="30">
        <v>8.9540000000000006</v>
      </c>
      <c r="K66" s="27" t="s">
        <v>361</v>
      </c>
      <c r="L66" s="27" t="s">
        <v>361</v>
      </c>
      <c r="M66" s="27" t="s">
        <v>441</v>
      </c>
      <c r="O66" s="27">
        <v>47</v>
      </c>
      <c r="Q66" t="str">
        <f t="shared" si="0"/>
        <v/>
      </c>
    </row>
    <row r="67" spans="1:17" hidden="1" x14ac:dyDescent="0.3">
      <c r="A67" s="27" t="s">
        <v>348</v>
      </c>
      <c r="B67" s="31">
        <v>18.91</v>
      </c>
      <c r="C67" s="27">
        <v>3570000</v>
      </c>
      <c r="D67" s="31">
        <v>26.56</v>
      </c>
      <c r="E67" s="31">
        <v>136.93</v>
      </c>
      <c r="F67" s="33">
        <v>0.58499999999999996</v>
      </c>
      <c r="G67" s="27" t="s">
        <v>12</v>
      </c>
      <c r="H67" s="27" t="s">
        <v>442</v>
      </c>
      <c r="I67" s="27" t="s">
        <v>225</v>
      </c>
      <c r="J67" s="30">
        <v>24.114999999999998</v>
      </c>
      <c r="K67" s="27" t="s">
        <v>361</v>
      </c>
      <c r="L67" s="27" t="s">
        <v>361</v>
      </c>
      <c r="M67" s="27" t="s">
        <v>30</v>
      </c>
      <c r="N67" s="27" t="s">
        <v>455</v>
      </c>
      <c r="Q67" t="str">
        <f t="shared" ref="Q67:Q76" si="1">IF(P67="","",M67)</f>
        <v/>
      </c>
    </row>
    <row r="68" spans="1:17" hidden="1" x14ac:dyDescent="0.3">
      <c r="A68" s="27" t="s">
        <v>349</v>
      </c>
      <c r="B68" s="31">
        <v>5.13</v>
      </c>
      <c r="C68" s="27">
        <v>1550000</v>
      </c>
      <c r="D68" s="31">
        <v>37.32</v>
      </c>
      <c r="E68" s="31">
        <v>130.81</v>
      </c>
      <c r="F68" s="33">
        <v>0.58699999999999997</v>
      </c>
      <c r="G68" s="27" t="s">
        <v>12</v>
      </c>
      <c r="H68" s="27" t="s">
        <v>443</v>
      </c>
      <c r="I68" s="27" t="s">
        <v>216</v>
      </c>
      <c r="J68" s="30">
        <v>8.6639999999999997</v>
      </c>
      <c r="K68" s="27" t="s">
        <v>361</v>
      </c>
      <c r="L68" s="27" t="s">
        <v>361</v>
      </c>
      <c r="M68" s="27" t="s">
        <v>216</v>
      </c>
      <c r="N68" s="27" t="s">
        <v>444</v>
      </c>
      <c r="Q68" t="str">
        <f t="shared" si="1"/>
        <v/>
      </c>
    </row>
    <row r="69" spans="1:17" hidden="1" x14ac:dyDescent="0.3">
      <c r="A69" s="27" t="s">
        <v>350</v>
      </c>
      <c r="B69" s="31">
        <v>5.07</v>
      </c>
      <c r="C69" s="27">
        <v>2420000</v>
      </c>
      <c r="D69" s="31">
        <v>40.57</v>
      </c>
      <c r="E69" s="31">
        <v>111.98</v>
      </c>
      <c r="F69" s="33">
        <v>0.63500000000000001</v>
      </c>
      <c r="G69" s="27" t="s">
        <v>12</v>
      </c>
      <c r="H69" s="27" t="s">
        <v>448</v>
      </c>
      <c r="I69" s="27" t="s">
        <v>155</v>
      </c>
      <c r="J69" s="30">
        <v>12.401999999999999</v>
      </c>
      <c r="K69" s="27" t="s">
        <v>361</v>
      </c>
      <c r="L69" s="27" t="s">
        <v>361</v>
      </c>
      <c r="M69" s="27" t="s">
        <v>155</v>
      </c>
      <c r="N69" s="27" t="s">
        <v>279</v>
      </c>
      <c r="Q69" t="str">
        <f t="shared" si="1"/>
        <v/>
      </c>
    </row>
    <row r="70" spans="1:17" hidden="1" x14ac:dyDescent="0.3">
      <c r="A70" s="27" t="s">
        <v>351</v>
      </c>
      <c r="B70" s="31">
        <v>75.95</v>
      </c>
      <c r="C70" s="27">
        <v>1470000</v>
      </c>
      <c r="D70" s="31">
        <v>37.94</v>
      </c>
      <c r="E70" s="31">
        <v>148.09</v>
      </c>
      <c r="F70" s="33">
        <v>0.64100000000000001</v>
      </c>
      <c r="G70" s="27" t="s">
        <v>12</v>
      </c>
      <c r="H70" s="27" t="s">
        <v>449</v>
      </c>
      <c r="I70" s="27" t="s">
        <v>216</v>
      </c>
      <c r="J70" s="30">
        <v>68.378</v>
      </c>
      <c r="K70" s="27" t="s">
        <v>361</v>
      </c>
      <c r="L70" s="27" t="s">
        <v>361</v>
      </c>
      <c r="M70" s="27" t="s">
        <v>30</v>
      </c>
      <c r="N70" s="27" t="s">
        <v>456</v>
      </c>
      <c r="Q70" t="str">
        <f t="shared" si="1"/>
        <v/>
      </c>
    </row>
    <row r="71" spans="1:17" hidden="1" x14ac:dyDescent="0.3">
      <c r="A71" s="27" t="s">
        <v>352</v>
      </c>
      <c r="B71" s="31">
        <v>10.85</v>
      </c>
      <c r="C71" s="27">
        <v>759000</v>
      </c>
      <c r="D71" s="31">
        <v>28.96</v>
      </c>
      <c r="E71" s="31">
        <v>97.266000000000005</v>
      </c>
      <c r="F71" s="33">
        <v>0.64200000000000002</v>
      </c>
      <c r="G71" s="27" t="s">
        <v>12</v>
      </c>
      <c r="H71" s="27" t="s">
        <v>450</v>
      </c>
      <c r="I71" s="27" t="s">
        <v>225</v>
      </c>
      <c r="J71" s="30">
        <v>16.922000000000001</v>
      </c>
      <c r="K71" s="27" t="s">
        <v>361</v>
      </c>
      <c r="L71" s="27" t="s">
        <v>361</v>
      </c>
      <c r="M71" s="27" t="s">
        <v>30</v>
      </c>
      <c r="N71" s="27" t="s">
        <v>451</v>
      </c>
      <c r="Q71" t="str">
        <f t="shared" si="1"/>
        <v/>
      </c>
    </row>
    <row r="72" spans="1:17" hidden="1" x14ac:dyDescent="0.3">
      <c r="A72" s="27" t="s">
        <v>353</v>
      </c>
      <c r="B72" s="31">
        <v>171.09</v>
      </c>
      <c r="C72" s="27">
        <v>822000</v>
      </c>
      <c r="D72" s="31">
        <v>28.33</v>
      </c>
      <c r="E72" s="31">
        <v>111.38</v>
      </c>
      <c r="F72" s="33">
        <v>0.64900000000000002</v>
      </c>
      <c r="G72" s="27" t="s">
        <v>12</v>
      </c>
      <c r="H72" s="27" t="s">
        <v>457</v>
      </c>
      <c r="I72" s="27" t="s">
        <v>225</v>
      </c>
      <c r="J72" s="30">
        <v>45.180999999999997</v>
      </c>
      <c r="K72" s="27" t="s">
        <v>362</v>
      </c>
      <c r="L72" s="27" t="s">
        <v>361</v>
      </c>
      <c r="M72" s="27" t="s">
        <v>392</v>
      </c>
      <c r="N72" s="27" t="s">
        <v>481</v>
      </c>
      <c r="Q72" t="str">
        <f t="shared" si="1"/>
        <v/>
      </c>
    </row>
    <row r="73" spans="1:17" hidden="1" x14ac:dyDescent="0.3">
      <c r="A73" s="27" t="s">
        <v>354</v>
      </c>
      <c r="B73" s="31">
        <v>14.81</v>
      </c>
      <c r="C73" s="27">
        <v>1160000</v>
      </c>
      <c r="D73" s="31">
        <v>33.69</v>
      </c>
      <c r="E73" s="31">
        <v>486.62</v>
      </c>
      <c r="F73" s="33">
        <v>0.66500000000000004</v>
      </c>
      <c r="G73" s="13" t="s">
        <v>15</v>
      </c>
      <c r="H73" s="27" t="s">
        <v>458</v>
      </c>
      <c r="I73" s="27" t="s">
        <v>223</v>
      </c>
      <c r="J73" s="30">
        <v>9.14</v>
      </c>
      <c r="K73" s="27" t="s">
        <v>361</v>
      </c>
      <c r="L73" s="27" t="s">
        <v>361</v>
      </c>
      <c r="M73" s="27" t="s">
        <v>392</v>
      </c>
      <c r="N73" s="27" t="s">
        <v>482</v>
      </c>
      <c r="O73" s="27">
        <v>48</v>
      </c>
      <c r="Q73" t="str">
        <f t="shared" si="1"/>
        <v/>
      </c>
    </row>
    <row r="74" spans="1:17" hidden="1" x14ac:dyDescent="0.3">
      <c r="A74" s="34" t="s">
        <v>355</v>
      </c>
      <c r="B74" s="35">
        <v>32.28</v>
      </c>
      <c r="C74" s="34">
        <v>1550000</v>
      </c>
      <c r="D74" s="35">
        <v>40.6</v>
      </c>
      <c r="E74" s="35">
        <v>166.51</v>
      </c>
      <c r="F74" s="36">
        <v>0.68600000000000005</v>
      </c>
      <c r="G74" s="34" t="s">
        <v>12</v>
      </c>
      <c r="H74" s="34" t="s">
        <v>459</v>
      </c>
      <c r="I74" s="34" t="s">
        <v>206</v>
      </c>
      <c r="J74" s="37">
        <v>19.335000000000001</v>
      </c>
      <c r="K74" s="27" t="s">
        <v>361</v>
      </c>
      <c r="L74" s="27" t="s">
        <v>361</v>
      </c>
      <c r="M74" s="27" t="s">
        <v>395</v>
      </c>
      <c r="N74" s="27" t="s">
        <v>460</v>
      </c>
      <c r="O74" s="27">
        <v>49</v>
      </c>
      <c r="Q74" t="str">
        <f t="shared" si="1"/>
        <v/>
      </c>
    </row>
    <row r="75" spans="1:17" hidden="1" x14ac:dyDescent="0.3">
      <c r="A75" s="34" t="s">
        <v>356</v>
      </c>
      <c r="B75" s="35">
        <v>147.62</v>
      </c>
      <c r="C75" s="34">
        <v>1920000</v>
      </c>
      <c r="D75" s="35">
        <v>43.18</v>
      </c>
      <c r="E75" s="35">
        <v>124.23</v>
      </c>
      <c r="F75" s="36">
        <v>0.77</v>
      </c>
      <c r="G75" s="34" t="s">
        <v>12</v>
      </c>
      <c r="H75" s="34" t="s">
        <v>467</v>
      </c>
      <c r="I75" s="34" t="s">
        <v>164</v>
      </c>
      <c r="J75" s="37">
        <v>424.13099999999997</v>
      </c>
      <c r="K75" s="27" t="s">
        <v>362</v>
      </c>
      <c r="L75" s="27" t="s">
        <v>361</v>
      </c>
      <c r="M75" s="27" t="s">
        <v>164</v>
      </c>
      <c r="N75" s="27" t="s">
        <v>468</v>
      </c>
      <c r="O75" s="27">
        <v>50</v>
      </c>
      <c r="Q75" t="str">
        <f t="shared" si="1"/>
        <v/>
      </c>
    </row>
    <row r="76" spans="1:17" hidden="1" x14ac:dyDescent="0.3">
      <c r="A76" s="34" t="s">
        <v>357</v>
      </c>
      <c r="B76" s="35">
        <v>131</v>
      </c>
      <c r="C76" s="34">
        <v>1940000</v>
      </c>
      <c r="D76" s="35">
        <v>43.18</v>
      </c>
      <c r="E76" s="35">
        <v>124.23</v>
      </c>
      <c r="F76" s="36">
        <v>0.77</v>
      </c>
      <c r="G76" s="34" t="s">
        <v>226</v>
      </c>
      <c r="H76" s="34" t="s">
        <v>473</v>
      </c>
      <c r="I76" s="34" t="s">
        <v>164</v>
      </c>
      <c r="J76" s="37">
        <v>41.71</v>
      </c>
      <c r="K76" s="27" t="s">
        <v>362</v>
      </c>
      <c r="L76" s="27" t="s">
        <v>361</v>
      </c>
      <c r="M76" s="27" t="s">
        <v>392</v>
      </c>
      <c r="N76" s="27" t="s">
        <v>474</v>
      </c>
      <c r="Q76" t="str">
        <f t="shared" si="1"/>
        <v/>
      </c>
    </row>
  </sheetData>
  <autoFilter ref="A1:P76" xr:uid="{13AF2DF0-FB26-44F4-A530-8E7A7F8A9A37}">
    <filterColumn colId="1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C49A-C0BB-4880-9906-42E0760E67A9}">
  <dimension ref="A3:B23"/>
  <sheetViews>
    <sheetView workbookViewId="0">
      <selection activeCell="E37" sqref="E37"/>
    </sheetView>
  </sheetViews>
  <sheetFormatPr defaultRowHeight="14.4" x14ac:dyDescent="0.3"/>
  <cols>
    <col min="1" max="1" width="13.59765625" bestFit="1" customWidth="1"/>
    <col min="2" max="2" width="17.69921875" bestFit="1" customWidth="1"/>
  </cols>
  <sheetData>
    <row r="3" spans="1:2" x14ac:dyDescent="0.3">
      <c r="A3" s="38" t="s">
        <v>360</v>
      </c>
      <c r="B3" t="s">
        <v>484</v>
      </c>
    </row>
    <row r="4" spans="1:2" x14ac:dyDescent="0.3">
      <c r="A4" t="s">
        <v>393</v>
      </c>
      <c r="B4">
        <v>4</v>
      </c>
    </row>
    <row r="5" spans="1:2" x14ac:dyDescent="0.3">
      <c r="A5" t="s">
        <v>155</v>
      </c>
      <c r="B5">
        <v>2</v>
      </c>
    </row>
    <row r="6" spans="1:2" x14ac:dyDescent="0.3">
      <c r="A6" t="s">
        <v>391</v>
      </c>
      <c r="B6">
        <v>5</v>
      </c>
    </row>
    <row r="7" spans="1:2" x14ac:dyDescent="0.3">
      <c r="A7" t="s">
        <v>392</v>
      </c>
      <c r="B7">
        <v>10</v>
      </c>
    </row>
    <row r="8" spans="1:2" x14ac:dyDescent="0.3">
      <c r="A8" t="s">
        <v>405</v>
      </c>
      <c r="B8">
        <v>6</v>
      </c>
    </row>
    <row r="9" spans="1:2" x14ac:dyDescent="0.3">
      <c r="A9" t="s">
        <v>367</v>
      </c>
      <c r="B9">
        <v>2</v>
      </c>
    </row>
    <row r="10" spans="1:2" x14ac:dyDescent="0.3">
      <c r="A10" t="s">
        <v>376</v>
      </c>
      <c r="B10">
        <v>5</v>
      </c>
    </row>
    <row r="11" spans="1:2" x14ac:dyDescent="0.3">
      <c r="A11" t="s">
        <v>422</v>
      </c>
      <c r="B11">
        <v>3</v>
      </c>
    </row>
    <row r="12" spans="1:2" x14ac:dyDescent="0.3">
      <c r="A12" t="s">
        <v>30</v>
      </c>
      <c r="B12">
        <v>6</v>
      </c>
    </row>
    <row r="13" spans="1:2" x14ac:dyDescent="0.3">
      <c r="A13" t="s">
        <v>375</v>
      </c>
      <c r="B13">
        <v>2</v>
      </c>
    </row>
    <row r="14" spans="1:2" x14ac:dyDescent="0.3">
      <c r="A14" t="s">
        <v>216</v>
      </c>
      <c r="B14">
        <v>4</v>
      </c>
    </row>
    <row r="15" spans="1:2" x14ac:dyDescent="0.3">
      <c r="A15" t="s">
        <v>17</v>
      </c>
      <c r="B15">
        <v>4</v>
      </c>
    </row>
    <row r="16" spans="1:2" x14ac:dyDescent="0.3">
      <c r="A16" t="s">
        <v>386</v>
      </c>
      <c r="B16">
        <v>2</v>
      </c>
    </row>
    <row r="17" spans="1:2" x14ac:dyDescent="0.3">
      <c r="A17" t="s">
        <v>35</v>
      </c>
      <c r="B17">
        <v>1</v>
      </c>
    </row>
    <row r="18" spans="1:2" x14ac:dyDescent="0.3">
      <c r="A18" t="s">
        <v>221</v>
      </c>
      <c r="B18">
        <v>1</v>
      </c>
    </row>
    <row r="19" spans="1:2" x14ac:dyDescent="0.3">
      <c r="A19" t="s">
        <v>161</v>
      </c>
      <c r="B19">
        <v>4</v>
      </c>
    </row>
    <row r="20" spans="1:2" x14ac:dyDescent="0.3">
      <c r="A20" t="s">
        <v>164</v>
      </c>
      <c r="B20">
        <v>5</v>
      </c>
    </row>
    <row r="21" spans="1:2" x14ac:dyDescent="0.3">
      <c r="A21" t="s">
        <v>395</v>
      </c>
      <c r="B21">
        <v>7</v>
      </c>
    </row>
    <row r="22" spans="1:2" x14ac:dyDescent="0.3">
      <c r="A22" t="s">
        <v>441</v>
      </c>
      <c r="B22">
        <v>1</v>
      </c>
    </row>
    <row r="23" spans="1:2" x14ac:dyDescent="0.3">
      <c r="A23" t="s">
        <v>368</v>
      </c>
      <c r="B23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4149-07B6-4DA7-B594-C50C7AE7BB2F}">
  <dimension ref="A1:A59"/>
  <sheetViews>
    <sheetView workbookViewId="0">
      <selection sqref="A1:A59"/>
    </sheetView>
  </sheetViews>
  <sheetFormatPr defaultRowHeight="14.4" x14ac:dyDescent="0.3"/>
  <sheetData>
    <row r="1" spans="1:1" x14ac:dyDescent="0.3">
      <c r="A1" s="1" t="s">
        <v>217</v>
      </c>
    </row>
    <row r="2" spans="1:1" x14ac:dyDescent="0.3">
      <c r="A2" s="8" t="s">
        <v>229</v>
      </c>
    </row>
    <row r="3" spans="1:1" x14ac:dyDescent="0.3">
      <c r="A3" s="8" t="s">
        <v>230</v>
      </c>
    </row>
    <row r="4" spans="1:1" x14ac:dyDescent="0.3">
      <c r="A4" s="8" t="s">
        <v>252</v>
      </c>
    </row>
    <row r="5" spans="1:1" x14ac:dyDescent="0.3">
      <c r="A5" s="8" t="s">
        <v>263</v>
      </c>
    </row>
    <row r="6" spans="1:1" x14ac:dyDescent="0.3">
      <c r="A6" s="8" t="s">
        <v>264</v>
      </c>
    </row>
    <row r="7" spans="1:1" x14ac:dyDescent="0.3">
      <c r="A7" s="8" t="s">
        <v>269</v>
      </c>
    </row>
    <row r="8" spans="1:1" x14ac:dyDescent="0.3">
      <c r="A8" s="8" t="s">
        <v>272</v>
      </c>
    </row>
    <row r="9" spans="1:1" x14ac:dyDescent="0.3">
      <c r="A9" s="8" t="s">
        <v>281</v>
      </c>
    </row>
    <row r="10" spans="1:1" x14ac:dyDescent="0.3">
      <c r="A10" s="8" t="s">
        <v>282</v>
      </c>
    </row>
    <row r="11" spans="1:1" x14ac:dyDescent="0.3">
      <c r="A11" s="8" t="s">
        <v>284</v>
      </c>
    </row>
    <row r="12" spans="1:1" x14ac:dyDescent="0.3">
      <c r="A12" s="8" t="s">
        <v>285</v>
      </c>
    </row>
    <row r="13" spans="1:1" x14ac:dyDescent="0.3">
      <c r="A13" s="8" t="s">
        <v>286</v>
      </c>
    </row>
    <row r="14" spans="1:1" x14ac:dyDescent="0.3">
      <c r="A14" s="8" t="s">
        <v>287</v>
      </c>
    </row>
    <row r="15" spans="1:1" x14ac:dyDescent="0.3">
      <c r="A15" s="8" t="s">
        <v>293</v>
      </c>
    </row>
    <row r="16" spans="1:1" x14ac:dyDescent="0.3">
      <c r="A16" s="8" t="s">
        <v>300</v>
      </c>
    </row>
    <row r="17" spans="1:1" x14ac:dyDescent="0.3">
      <c r="A17" s="8" t="s">
        <v>310</v>
      </c>
    </row>
    <row r="18" spans="1:1" x14ac:dyDescent="0.3">
      <c r="A18" s="8" t="s">
        <v>318</v>
      </c>
    </row>
    <row r="19" spans="1:1" x14ac:dyDescent="0.3">
      <c r="A19" s="8" t="s">
        <v>321</v>
      </c>
    </row>
    <row r="20" spans="1:1" x14ac:dyDescent="0.3">
      <c r="A20" s="8" t="s">
        <v>325</v>
      </c>
    </row>
    <row r="21" spans="1:1" x14ac:dyDescent="0.3">
      <c r="A21" s="8" t="s">
        <v>331</v>
      </c>
    </row>
    <row r="22" spans="1:1" x14ac:dyDescent="0.3">
      <c r="A22" s="8" t="s">
        <v>332</v>
      </c>
    </row>
    <row r="23" spans="1:1" x14ac:dyDescent="0.3">
      <c r="A23" s="8" t="s">
        <v>334</v>
      </c>
    </row>
    <row r="24" spans="1:1" x14ac:dyDescent="0.3">
      <c r="A24" s="16" t="s">
        <v>317</v>
      </c>
    </row>
    <row r="25" spans="1:1" x14ac:dyDescent="0.3">
      <c r="A25" s="20" t="s">
        <v>291</v>
      </c>
    </row>
    <row r="26" spans="1:1" x14ac:dyDescent="0.3">
      <c r="A26" s="20" t="s">
        <v>303</v>
      </c>
    </row>
    <row r="27" spans="1:1" x14ac:dyDescent="0.3">
      <c r="A27" s="20" t="s">
        <v>311</v>
      </c>
    </row>
    <row r="28" spans="1:1" x14ac:dyDescent="0.3">
      <c r="A28" s="20" t="s">
        <v>313</v>
      </c>
    </row>
    <row r="29" spans="1:1" x14ac:dyDescent="0.3">
      <c r="A29" s="20" t="s">
        <v>314</v>
      </c>
    </row>
    <row r="30" spans="1:1" x14ac:dyDescent="0.3">
      <c r="A30" s="20" t="s">
        <v>322</v>
      </c>
    </row>
    <row r="31" spans="1:1" x14ac:dyDescent="0.3">
      <c r="A31" s="20" t="s">
        <v>329</v>
      </c>
    </row>
    <row r="32" spans="1:1" x14ac:dyDescent="0.3">
      <c r="A32" s="20" t="s">
        <v>335</v>
      </c>
    </row>
    <row r="33" spans="1:1" x14ac:dyDescent="0.3">
      <c r="A33" s="20" t="s">
        <v>338</v>
      </c>
    </row>
    <row r="34" spans="1:1" x14ac:dyDescent="0.3">
      <c r="A34" s="20" t="s">
        <v>342</v>
      </c>
    </row>
    <row r="35" spans="1:1" x14ac:dyDescent="0.3">
      <c r="A35" s="27" t="s">
        <v>228</v>
      </c>
    </row>
    <row r="36" spans="1:1" x14ac:dyDescent="0.3">
      <c r="A36" s="27" t="s">
        <v>232</v>
      </c>
    </row>
    <row r="37" spans="1:1" x14ac:dyDescent="0.3">
      <c r="A37" s="27" t="s">
        <v>236</v>
      </c>
    </row>
    <row r="38" spans="1:1" x14ac:dyDescent="0.3">
      <c r="A38" s="27" t="s">
        <v>239</v>
      </c>
    </row>
    <row r="39" spans="1:1" x14ac:dyDescent="0.3">
      <c r="A39" s="27" t="s">
        <v>244</v>
      </c>
    </row>
    <row r="40" spans="1:1" x14ac:dyDescent="0.3">
      <c r="A40" s="27" t="s">
        <v>246</v>
      </c>
    </row>
    <row r="41" spans="1:1" x14ac:dyDescent="0.3">
      <c r="A41" s="27" t="s">
        <v>249</v>
      </c>
    </row>
    <row r="42" spans="1:1" x14ac:dyDescent="0.3">
      <c r="A42" s="27" t="s">
        <v>270</v>
      </c>
    </row>
    <row r="43" spans="1:1" x14ac:dyDescent="0.3">
      <c r="A43" s="27" t="s">
        <v>279</v>
      </c>
    </row>
    <row r="44" spans="1:1" x14ac:dyDescent="0.3">
      <c r="A44" s="27" t="s">
        <v>296</v>
      </c>
    </row>
    <row r="45" spans="1:1" x14ac:dyDescent="0.3">
      <c r="A45" s="27" t="s">
        <v>319</v>
      </c>
    </row>
    <row r="46" spans="1:1" x14ac:dyDescent="0.3">
      <c r="A46" s="27" t="s">
        <v>320</v>
      </c>
    </row>
    <row r="47" spans="1:1" x14ac:dyDescent="0.3">
      <c r="A47" s="27" t="s">
        <v>327</v>
      </c>
    </row>
    <row r="48" spans="1:1" x14ac:dyDescent="0.3">
      <c r="A48" s="27" t="s">
        <v>328</v>
      </c>
    </row>
    <row r="49" spans="1:1" x14ac:dyDescent="0.3">
      <c r="A49" s="27" t="s">
        <v>330</v>
      </c>
    </row>
    <row r="50" spans="1:1" x14ac:dyDescent="0.3">
      <c r="A50" s="27" t="s">
        <v>333</v>
      </c>
    </row>
    <row r="51" spans="1:1" x14ac:dyDescent="0.3">
      <c r="A51" s="27" t="s">
        <v>336</v>
      </c>
    </row>
    <row r="52" spans="1:1" x14ac:dyDescent="0.3">
      <c r="A52" s="27" t="s">
        <v>340</v>
      </c>
    </row>
    <row r="53" spans="1:1" x14ac:dyDescent="0.3">
      <c r="A53" s="27" t="s">
        <v>341</v>
      </c>
    </row>
    <row r="54" spans="1:1" x14ac:dyDescent="0.3">
      <c r="A54" s="27" t="s">
        <v>344</v>
      </c>
    </row>
    <row r="55" spans="1:1" x14ac:dyDescent="0.3">
      <c r="A55" s="27" t="s">
        <v>346</v>
      </c>
    </row>
    <row r="56" spans="1:1" x14ac:dyDescent="0.3">
      <c r="A56" s="27" t="s">
        <v>347</v>
      </c>
    </row>
    <row r="57" spans="1:1" x14ac:dyDescent="0.3">
      <c r="A57" s="27" t="s">
        <v>354</v>
      </c>
    </row>
    <row r="58" spans="1:1" x14ac:dyDescent="0.3">
      <c r="A58" s="34" t="s">
        <v>355</v>
      </c>
    </row>
    <row r="59" spans="1:1" x14ac:dyDescent="0.3">
      <c r="A59" s="34" t="s">
        <v>356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CA3F-0457-40A9-88AB-CAAEF2AD4C0C}">
  <dimension ref="A1:Q20"/>
  <sheetViews>
    <sheetView workbookViewId="0">
      <selection activeCell="H19" sqref="H19"/>
    </sheetView>
  </sheetViews>
  <sheetFormatPr defaultRowHeight="14.4" x14ac:dyDescent="0.3"/>
  <cols>
    <col min="8" max="8" width="28.19921875" bestFit="1" customWidth="1"/>
  </cols>
  <sheetData>
    <row r="1" spans="1:17" x14ac:dyDescent="0.3">
      <c r="A1" s="1" t="s">
        <v>217</v>
      </c>
      <c r="B1" s="4" t="s">
        <v>0</v>
      </c>
      <c r="C1" s="1" t="s">
        <v>1</v>
      </c>
      <c r="D1" s="4" t="s">
        <v>2</v>
      </c>
      <c r="E1" s="4" t="s">
        <v>3</v>
      </c>
      <c r="F1" s="5" t="s">
        <v>4</v>
      </c>
      <c r="G1" s="1" t="s">
        <v>5</v>
      </c>
      <c r="H1" s="1" t="s">
        <v>7</v>
      </c>
      <c r="I1" s="1" t="s">
        <v>9</v>
      </c>
      <c r="J1" s="6" t="s">
        <v>11</v>
      </c>
      <c r="K1" s="1" t="s">
        <v>358</v>
      </c>
      <c r="L1" s="1" t="s">
        <v>359</v>
      </c>
      <c r="M1" s="1" t="s">
        <v>360</v>
      </c>
      <c r="N1" s="1" t="s">
        <v>369</v>
      </c>
      <c r="O1" s="1" t="s">
        <v>387</v>
      </c>
      <c r="P1" s="1" t="s">
        <v>388</v>
      </c>
    </row>
    <row r="2" spans="1:17" x14ac:dyDescent="0.3">
      <c r="A2" s="8" t="s">
        <v>334</v>
      </c>
      <c r="B2" s="11">
        <v>689.59</v>
      </c>
      <c r="C2" s="8">
        <v>12800000</v>
      </c>
      <c r="D2" s="11">
        <v>10.52</v>
      </c>
      <c r="E2" s="11">
        <v>46.27</v>
      </c>
      <c r="F2" s="15">
        <v>0.154</v>
      </c>
      <c r="G2" s="13" t="s">
        <v>15</v>
      </c>
      <c r="H2" s="8" t="s">
        <v>214</v>
      </c>
      <c r="I2" s="8" t="s">
        <v>62</v>
      </c>
      <c r="J2" s="12">
        <v>708.92</v>
      </c>
      <c r="K2" s="1" t="s">
        <v>362</v>
      </c>
      <c r="L2" s="1" t="s">
        <v>361</v>
      </c>
      <c r="M2" s="1" t="s">
        <v>382</v>
      </c>
      <c r="O2" s="1">
        <v>22</v>
      </c>
      <c r="P2" s="1" t="s">
        <v>15</v>
      </c>
      <c r="Q2" s="1" t="str">
        <f t="shared" ref="Q2:Q14" si="0">M2</f>
        <v>Indexes</v>
      </c>
    </row>
    <row r="3" spans="1:17" x14ac:dyDescent="0.3">
      <c r="A3" s="8" t="s">
        <v>332</v>
      </c>
      <c r="B3" s="8">
        <v>608.75</v>
      </c>
      <c r="C3" s="8">
        <v>7750000</v>
      </c>
      <c r="D3" s="8">
        <v>14.28</v>
      </c>
      <c r="E3" s="8">
        <v>51.3</v>
      </c>
      <c r="F3" s="10">
        <v>0.21199999999999999</v>
      </c>
      <c r="G3" s="13" t="s">
        <v>15</v>
      </c>
      <c r="H3" s="8" t="s">
        <v>212</v>
      </c>
      <c r="I3" s="8" t="s">
        <v>213</v>
      </c>
      <c r="J3" s="12">
        <v>411.78</v>
      </c>
      <c r="K3" s="1" t="s">
        <v>362</v>
      </c>
      <c r="L3" s="1" t="s">
        <v>361</v>
      </c>
      <c r="M3" s="1" t="s">
        <v>382</v>
      </c>
      <c r="O3" s="1">
        <v>21</v>
      </c>
      <c r="P3" s="1" t="s">
        <v>15</v>
      </c>
      <c r="Q3" s="1" t="str">
        <f t="shared" si="0"/>
        <v>Indexes</v>
      </c>
    </row>
    <row r="4" spans="1:17" x14ac:dyDescent="0.3">
      <c r="A4" s="8" t="s">
        <v>324</v>
      </c>
      <c r="B4" s="8">
        <v>264.47000000000003</v>
      </c>
      <c r="C4" s="8">
        <v>1923789</v>
      </c>
      <c r="D4" s="9">
        <v>16.2681953475266</v>
      </c>
      <c r="E4" s="9">
        <v>55.967162351003601</v>
      </c>
      <c r="F4" s="10">
        <v>0.23100000000000001</v>
      </c>
      <c r="G4" s="13" t="s">
        <v>15</v>
      </c>
      <c r="H4" s="8" t="s">
        <v>156</v>
      </c>
      <c r="I4" s="8" t="s">
        <v>157</v>
      </c>
      <c r="J4" s="12">
        <v>73.89</v>
      </c>
      <c r="K4" s="1" t="s">
        <v>362</v>
      </c>
      <c r="L4" s="1" t="s">
        <v>361</v>
      </c>
      <c r="M4" s="1" t="s">
        <v>382</v>
      </c>
      <c r="P4" s="1" t="s">
        <v>15</v>
      </c>
      <c r="Q4" s="1" t="str">
        <f t="shared" si="0"/>
        <v>Indexes</v>
      </c>
    </row>
    <row r="5" spans="1:17" x14ac:dyDescent="0.3">
      <c r="A5" s="8" t="s">
        <v>310</v>
      </c>
      <c r="B5" s="8">
        <v>62.41</v>
      </c>
      <c r="C5" s="8">
        <v>251565</v>
      </c>
      <c r="D5" s="9">
        <v>9.6691628153617408</v>
      </c>
      <c r="E5" s="9">
        <v>44.596256336352702</v>
      </c>
      <c r="F5" s="10">
        <v>0.21299999999999999</v>
      </c>
      <c r="G5" s="13" t="s">
        <v>15</v>
      </c>
      <c r="H5" s="8" t="s">
        <v>135</v>
      </c>
      <c r="I5" s="8" t="s">
        <v>136</v>
      </c>
      <c r="J5" s="12">
        <v>26.95</v>
      </c>
      <c r="K5" s="1" t="s">
        <v>361</v>
      </c>
      <c r="L5" s="1" t="s">
        <v>361</v>
      </c>
      <c r="M5" s="1" t="s">
        <v>375</v>
      </c>
      <c r="N5" s="1" t="s">
        <v>301</v>
      </c>
      <c r="O5" s="1">
        <v>16</v>
      </c>
      <c r="P5" s="1" t="s">
        <v>15</v>
      </c>
      <c r="Q5" s="1" t="str">
        <f t="shared" si="0"/>
        <v>International</v>
      </c>
    </row>
    <row r="6" spans="1:17" x14ac:dyDescent="0.3">
      <c r="A6" s="8" t="s">
        <v>318</v>
      </c>
      <c r="B6" s="8">
        <v>89.36</v>
      </c>
      <c r="C6" s="8">
        <v>679331</v>
      </c>
      <c r="D6" s="9">
        <v>8.4912742332242601</v>
      </c>
      <c r="E6" s="9">
        <v>30.096480585692198</v>
      </c>
      <c r="F6" s="10">
        <v>9.9000000000000005E-2</v>
      </c>
      <c r="G6" s="13" t="s">
        <v>15</v>
      </c>
      <c r="H6" s="8" t="s">
        <v>143</v>
      </c>
      <c r="I6" s="8" t="s">
        <v>144</v>
      </c>
      <c r="J6" s="12">
        <v>45.21</v>
      </c>
      <c r="K6" s="1" t="s">
        <v>361</v>
      </c>
      <c r="L6" s="1" t="s">
        <v>361</v>
      </c>
      <c r="M6" s="1" t="s">
        <v>366</v>
      </c>
      <c r="N6" s="1" t="s">
        <v>263</v>
      </c>
      <c r="O6" s="1">
        <v>17</v>
      </c>
      <c r="P6" s="1" t="s">
        <v>15</v>
      </c>
      <c r="Q6" s="1" t="str">
        <f t="shared" si="0"/>
        <v>Bonds</v>
      </c>
    </row>
    <row r="7" spans="1:17" x14ac:dyDescent="0.3">
      <c r="A7" s="20" t="s">
        <v>311</v>
      </c>
      <c r="B7" s="20">
        <v>106.26</v>
      </c>
      <c r="C7" s="20">
        <v>300005</v>
      </c>
      <c r="D7" s="21">
        <v>28.616975535871699</v>
      </c>
      <c r="E7" s="21">
        <v>61.586741008350998</v>
      </c>
      <c r="F7" s="22">
        <v>0.49299999999999999</v>
      </c>
      <c r="G7" s="13" t="s">
        <v>15</v>
      </c>
      <c r="H7" s="20" t="s">
        <v>137</v>
      </c>
      <c r="I7" s="20" t="s">
        <v>138</v>
      </c>
      <c r="J7" s="23">
        <v>28.89</v>
      </c>
      <c r="K7" s="1" t="s">
        <v>362</v>
      </c>
      <c r="L7" s="1" t="s">
        <v>361</v>
      </c>
      <c r="M7" s="1" t="s">
        <v>386</v>
      </c>
      <c r="O7" s="1">
        <v>26</v>
      </c>
      <c r="P7" s="1" t="s">
        <v>15</v>
      </c>
      <c r="Q7" s="1" t="str">
        <f t="shared" si="0"/>
        <v>Precious</v>
      </c>
    </row>
    <row r="8" spans="1:17" x14ac:dyDescent="0.3">
      <c r="A8" s="8" t="s">
        <v>286</v>
      </c>
      <c r="B8" s="8">
        <v>79.67</v>
      </c>
      <c r="C8" s="8">
        <v>60636</v>
      </c>
      <c r="D8" s="9">
        <v>12.455138352885401</v>
      </c>
      <c r="E8" s="9">
        <v>35.644618608803903</v>
      </c>
      <c r="F8" s="10">
        <v>0.17</v>
      </c>
      <c r="G8" s="8" t="s">
        <v>12</v>
      </c>
      <c r="H8" s="8" t="s">
        <v>97</v>
      </c>
      <c r="I8" s="8" t="s">
        <v>180</v>
      </c>
      <c r="J8" s="12">
        <v>343.18200000000002</v>
      </c>
      <c r="K8" s="1" t="s">
        <v>361</v>
      </c>
      <c r="L8" s="1" t="s">
        <v>361</v>
      </c>
      <c r="M8" s="1" t="s">
        <v>367</v>
      </c>
      <c r="N8" s="1" t="s">
        <v>378</v>
      </c>
      <c r="O8" s="1">
        <v>12</v>
      </c>
      <c r="P8" s="1" t="s">
        <v>389</v>
      </c>
      <c r="Q8" s="1" t="str">
        <f t="shared" si="0"/>
        <v>Consumer</v>
      </c>
    </row>
    <row r="9" spans="1:17" x14ac:dyDescent="0.3">
      <c r="A9" s="8" t="s">
        <v>285</v>
      </c>
      <c r="B9" s="8">
        <v>49.16</v>
      </c>
      <c r="C9" s="8">
        <v>60143</v>
      </c>
      <c r="D9" s="9">
        <v>13.942579608255601</v>
      </c>
      <c r="E9" s="9">
        <v>44.880407385954001</v>
      </c>
      <c r="F9" s="10">
        <v>0.19700000000000001</v>
      </c>
      <c r="G9" s="8" t="s">
        <v>12</v>
      </c>
      <c r="H9" s="8" t="s">
        <v>96</v>
      </c>
      <c r="I9" s="8" t="s">
        <v>193</v>
      </c>
      <c r="J9" s="12">
        <v>207.34100000000001</v>
      </c>
      <c r="K9" s="1" t="s">
        <v>361</v>
      </c>
      <c r="L9" s="1" t="s">
        <v>361</v>
      </c>
      <c r="M9" s="1" t="s">
        <v>370</v>
      </c>
      <c r="N9" s="1" t="s">
        <v>373</v>
      </c>
      <c r="O9" s="1">
        <v>11</v>
      </c>
      <c r="P9" s="1" t="s">
        <v>389</v>
      </c>
      <c r="Q9" s="1" t="str">
        <f t="shared" si="0"/>
        <v>Communications</v>
      </c>
    </row>
    <row r="10" spans="1:17" x14ac:dyDescent="0.3">
      <c r="A10" s="8" t="s">
        <v>325</v>
      </c>
      <c r="B10" s="11">
        <v>26.62</v>
      </c>
      <c r="C10" s="8">
        <v>2330000</v>
      </c>
      <c r="D10" s="11">
        <v>16.04</v>
      </c>
      <c r="E10" s="11">
        <v>54.9</v>
      </c>
      <c r="F10" s="15">
        <v>0.22700000000000001</v>
      </c>
      <c r="G10" s="8" t="s">
        <v>12</v>
      </c>
      <c r="H10" s="8" t="s">
        <v>158</v>
      </c>
      <c r="I10" s="8" t="s">
        <v>159</v>
      </c>
      <c r="J10" s="12">
        <v>151.35400000000001</v>
      </c>
      <c r="K10" s="1" t="s">
        <v>361</v>
      </c>
      <c r="L10" s="1" t="s">
        <v>361</v>
      </c>
      <c r="M10" s="1" t="s">
        <v>149</v>
      </c>
      <c r="N10" s="1" t="s">
        <v>385</v>
      </c>
      <c r="O10" s="1">
        <v>19</v>
      </c>
      <c r="P10" s="1" t="s">
        <v>389</v>
      </c>
      <c r="Q10" s="1" t="str">
        <f t="shared" si="0"/>
        <v>Pharmaceuticals</v>
      </c>
    </row>
    <row r="11" spans="1:17" x14ac:dyDescent="0.3">
      <c r="A11" s="20" t="s">
        <v>313</v>
      </c>
      <c r="B11" s="25">
        <v>60.75</v>
      </c>
      <c r="C11" s="20">
        <v>366000</v>
      </c>
      <c r="D11" s="25">
        <v>16.48</v>
      </c>
      <c r="E11" s="25">
        <v>60.49</v>
      </c>
      <c r="F11" s="26">
        <v>0.247</v>
      </c>
      <c r="G11" s="20" t="s">
        <v>12</v>
      </c>
      <c r="H11" s="20" t="s">
        <v>148</v>
      </c>
      <c r="I11" s="20" t="s">
        <v>149</v>
      </c>
      <c r="J11" s="23">
        <v>123.533</v>
      </c>
      <c r="K11" s="1" t="s">
        <v>361</v>
      </c>
      <c r="L11" s="1" t="s">
        <v>361</v>
      </c>
      <c r="M11" s="1" t="s">
        <v>149</v>
      </c>
      <c r="N11" s="1" t="s">
        <v>314</v>
      </c>
      <c r="O11" s="1">
        <v>27</v>
      </c>
      <c r="P11" s="1" t="s">
        <v>389</v>
      </c>
      <c r="Q11" s="1" t="str">
        <f t="shared" si="0"/>
        <v>Pharmaceuticals</v>
      </c>
    </row>
    <row r="12" spans="1:17" x14ac:dyDescent="0.3">
      <c r="A12" s="20" t="s">
        <v>322</v>
      </c>
      <c r="B12" s="25">
        <v>14.01</v>
      </c>
      <c r="C12" s="20">
        <v>1290000</v>
      </c>
      <c r="D12" s="25">
        <v>22.53</v>
      </c>
      <c r="E12" s="25">
        <v>68.25</v>
      </c>
      <c r="F12" s="26">
        <v>0.27800000000000002</v>
      </c>
      <c r="G12" s="20" t="s">
        <v>12</v>
      </c>
      <c r="H12" s="20" t="s">
        <v>154</v>
      </c>
      <c r="I12" s="20" t="s">
        <v>155</v>
      </c>
      <c r="J12" s="23">
        <v>55.893000000000001</v>
      </c>
      <c r="K12" s="1" t="s">
        <v>361</v>
      </c>
      <c r="L12" s="1" t="s">
        <v>361</v>
      </c>
      <c r="M12" s="1" t="s">
        <v>155</v>
      </c>
      <c r="O12" s="1">
        <v>29</v>
      </c>
      <c r="P12" s="1" t="s">
        <v>389</v>
      </c>
      <c r="Q12" s="1" t="str">
        <f t="shared" si="0"/>
        <v>Automotive</v>
      </c>
    </row>
    <row r="13" spans="1:17" x14ac:dyDescent="0.3">
      <c r="A13" s="20" t="s">
        <v>338</v>
      </c>
      <c r="B13" s="25">
        <v>41.56</v>
      </c>
      <c r="C13" s="20">
        <v>1480000</v>
      </c>
      <c r="D13" s="25">
        <v>25.89</v>
      </c>
      <c r="E13" s="25">
        <v>72.150000000000006</v>
      </c>
      <c r="F13" s="26">
        <v>0.36899999999999999</v>
      </c>
      <c r="G13" s="20" t="s">
        <v>12</v>
      </c>
      <c r="H13" s="8" t="s">
        <v>485</v>
      </c>
      <c r="I13" s="20" t="s">
        <v>220</v>
      </c>
      <c r="J13" s="23">
        <v>38.262999999999998</v>
      </c>
      <c r="K13" s="1" t="s">
        <v>361</v>
      </c>
      <c r="L13" s="1" t="s">
        <v>361</v>
      </c>
      <c r="M13" s="1" t="s">
        <v>216</v>
      </c>
      <c r="O13" s="1">
        <v>32</v>
      </c>
      <c r="P13" s="1" t="s">
        <v>389</v>
      </c>
      <c r="Q13" s="1" t="str">
        <f t="shared" si="0"/>
        <v>Internet</v>
      </c>
    </row>
    <row r="14" spans="1:17" x14ac:dyDescent="0.3">
      <c r="A14" s="20" t="s">
        <v>342</v>
      </c>
      <c r="B14" s="25">
        <v>65.349999999999994</v>
      </c>
      <c r="C14" s="20">
        <v>889000</v>
      </c>
      <c r="D14" s="25">
        <v>24.32</v>
      </c>
      <c r="E14" s="25">
        <v>70.790000000000006</v>
      </c>
      <c r="F14" s="26">
        <v>0.45100000000000001</v>
      </c>
      <c r="G14" s="20" t="s">
        <v>12</v>
      </c>
      <c r="H14" s="8" t="s">
        <v>426</v>
      </c>
      <c r="I14" s="20" t="s">
        <v>222</v>
      </c>
      <c r="J14" s="23">
        <v>96.742999999999995</v>
      </c>
      <c r="K14" s="1" t="s">
        <v>361</v>
      </c>
      <c r="L14" s="1" t="s">
        <v>361</v>
      </c>
      <c r="M14" s="1" t="s">
        <v>222</v>
      </c>
      <c r="O14" s="1">
        <v>33</v>
      </c>
      <c r="P14" s="1" t="s">
        <v>389</v>
      </c>
      <c r="Q14" s="1" t="str">
        <f t="shared" si="0"/>
        <v>Apparel</v>
      </c>
    </row>
    <row r="15" spans="1:17" x14ac:dyDescent="0.3">
      <c r="A15" s="27" t="s">
        <v>319</v>
      </c>
      <c r="B15" s="31">
        <v>49.92</v>
      </c>
      <c r="C15" s="27">
        <v>700000</v>
      </c>
      <c r="D15" s="31">
        <v>49.45</v>
      </c>
      <c r="E15" s="31">
        <v>111.97</v>
      </c>
      <c r="F15" s="33">
        <v>0.747</v>
      </c>
      <c r="G15" s="27" t="s">
        <v>12</v>
      </c>
      <c r="H15" s="27" t="s">
        <v>145</v>
      </c>
      <c r="I15" s="27" t="s">
        <v>57</v>
      </c>
      <c r="J15" s="30">
        <v>19.513999999999999</v>
      </c>
      <c r="K15" s="27" t="s">
        <v>361</v>
      </c>
      <c r="L15" s="27" t="s">
        <v>361</v>
      </c>
      <c r="M15" s="27" t="s">
        <v>391</v>
      </c>
      <c r="N15" s="27" t="s">
        <v>411</v>
      </c>
      <c r="O15" s="27">
        <v>36</v>
      </c>
      <c r="P15" s="27" t="s">
        <v>389</v>
      </c>
      <c r="Q15" t="str">
        <f t="shared" ref="Q15:Q20" si="1">IF(P15="","",M15)</f>
        <v>Biotech</v>
      </c>
    </row>
    <row r="16" spans="1:17" x14ac:dyDescent="0.3">
      <c r="A16" s="27" t="s">
        <v>320</v>
      </c>
      <c r="B16" s="31">
        <v>15.61</v>
      </c>
      <c r="C16" s="27">
        <v>712000</v>
      </c>
      <c r="D16" s="31">
        <v>64.73</v>
      </c>
      <c r="E16" s="31">
        <v>119.62</v>
      </c>
      <c r="F16" s="33">
        <v>0.92100000000000004</v>
      </c>
      <c r="G16" s="27" t="s">
        <v>12</v>
      </c>
      <c r="H16" s="27" t="s">
        <v>146</v>
      </c>
      <c r="I16" s="27" t="s">
        <v>147</v>
      </c>
      <c r="J16" s="30">
        <v>5.8040000000000003</v>
      </c>
      <c r="K16" s="27" t="s">
        <v>361</v>
      </c>
      <c r="L16" s="27" t="s">
        <v>361</v>
      </c>
      <c r="M16" s="27" t="s">
        <v>392</v>
      </c>
      <c r="N16" s="27" t="s">
        <v>478</v>
      </c>
      <c r="O16" s="27">
        <v>37</v>
      </c>
      <c r="P16" s="27" t="s">
        <v>389</v>
      </c>
      <c r="Q16" t="str">
        <f t="shared" si="1"/>
        <v>Bitcoin m.</v>
      </c>
    </row>
    <row r="17" spans="1:17" x14ac:dyDescent="0.3">
      <c r="A17" s="27" t="s">
        <v>330</v>
      </c>
      <c r="B17" s="31">
        <v>44.01</v>
      </c>
      <c r="C17" s="27">
        <v>4550000</v>
      </c>
      <c r="D17" s="31">
        <v>36.86</v>
      </c>
      <c r="E17" s="31">
        <v>95.14</v>
      </c>
      <c r="F17" s="33">
        <v>0.56999999999999995</v>
      </c>
      <c r="G17" s="27" t="s">
        <v>12</v>
      </c>
      <c r="H17" s="27" t="s">
        <v>209</v>
      </c>
      <c r="I17" s="27" t="s">
        <v>161</v>
      </c>
      <c r="J17" s="30">
        <v>219.83</v>
      </c>
      <c r="K17" s="27" t="s">
        <v>361</v>
      </c>
      <c r="L17" s="27" t="s">
        <v>361</v>
      </c>
      <c r="M17" s="27" t="s">
        <v>161</v>
      </c>
      <c r="N17" s="27" t="s">
        <v>417</v>
      </c>
      <c r="O17" s="27">
        <v>40</v>
      </c>
      <c r="P17" s="27" t="s">
        <v>389</v>
      </c>
      <c r="Q17" t="str">
        <f t="shared" si="1"/>
        <v>Semiconductors</v>
      </c>
    </row>
    <row r="18" spans="1:17" x14ac:dyDescent="0.3">
      <c r="A18" s="27" t="s">
        <v>336</v>
      </c>
      <c r="B18" s="31">
        <v>53</v>
      </c>
      <c r="C18" s="27">
        <v>1750000</v>
      </c>
      <c r="D18" s="31">
        <v>17.940000000000001</v>
      </c>
      <c r="E18" s="31">
        <v>67.67</v>
      </c>
      <c r="F18" s="33">
        <v>0.26500000000000001</v>
      </c>
      <c r="G18" s="27" t="s">
        <v>12</v>
      </c>
      <c r="H18" s="27" t="s">
        <v>420</v>
      </c>
      <c r="I18" s="27" t="s">
        <v>218</v>
      </c>
      <c r="J18" s="30">
        <v>382.26100000000002</v>
      </c>
      <c r="K18" s="27" t="s">
        <v>361</v>
      </c>
      <c r="L18" s="27" t="s">
        <v>361</v>
      </c>
      <c r="M18" s="27" t="s">
        <v>30</v>
      </c>
      <c r="N18" s="27" t="s">
        <v>454</v>
      </c>
      <c r="O18" s="27">
        <v>42</v>
      </c>
      <c r="P18" s="27" t="s">
        <v>389</v>
      </c>
      <c r="Q18" t="str">
        <f t="shared" si="1"/>
        <v>Financial</v>
      </c>
    </row>
    <row r="19" spans="1:17" x14ac:dyDescent="0.3">
      <c r="A19" s="27" t="s">
        <v>341</v>
      </c>
      <c r="B19" s="31">
        <v>7.72</v>
      </c>
      <c r="C19" s="27">
        <v>601000</v>
      </c>
      <c r="D19" s="31">
        <v>13.83</v>
      </c>
      <c r="E19" s="31">
        <v>146.36000000000001</v>
      </c>
      <c r="F19" s="33">
        <v>0.41399999999999998</v>
      </c>
      <c r="G19" s="27" t="s">
        <v>12</v>
      </c>
      <c r="H19" s="27" t="s">
        <v>425</v>
      </c>
      <c r="I19" s="27" t="s">
        <v>193</v>
      </c>
      <c r="J19" s="30">
        <v>43.639000000000003</v>
      </c>
      <c r="K19" s="27" t="s">
        <v>361</v>
      </c>
      <c r="L19" s="27" t="s">
        <v>361</v>
      </c>
      <c r="M19" s="27" t="s">
        <v>395</v>
      </c>
      <c r="N19" s="27" t="s">
        <v>466</v>
      </c>
      <c r="O19" s="27">
        <v>44</v>
      </c>
      <c r="P19" s="27" t="s">
        <v>389</v>
      </c>
      <c r="Q19" t="str">
        <f t="shared" si="1"/>
        <v>Technology</v>
      </c>
    </row>
    <row r="20" spans="1:17" x14ac:dyDescent="0.3">
      <c r="A20" s="27" t="s">
        <v>346</v>
      </c>
      <c r="B20" s="31">
        <v>80.900000000000006</v>
      </c>
      <c r="C20" s="27">
        <v>507000</v>
      </c>
      <c r="D20" s="31">
        <v>21.33</v>
      </c>
      <c r="E20" s="31">
        <v>69.88</v>
      </c>
      <c r="F20" s="33">
        <v>0.51200000000000001</v>
      </c>
      <c r="G20" s="13" t="s">
        <v>15</v>
      </c>
      <c r="H20" s="27" t="s">
        <v>433</v>
      </c>
      <c r="I20" s="27" t="s">
        <v>405</v>
      </c>
      <c r="J20" s="30">
        <v>1.04</v>
      </c>
      <c r="K20" s="27" t="s">
        <v>361</v>
      </c>
      <c r="L20" s="27" t="s">
        <v>361</v>
      </c>
      <c r="M20" s="27" t="s">
        <v>405</v>
      </c>
      <c r="N20" s="27" t="s">
        <v>434</v>
      </c>
      <c r="O20" s="27">
        <v>46</v>
      </c>
      <c r="P20" s="27" t="s">
        <v>15</v>
      </c>
      <c r="Q20" t="str">
        <f t="shared" si="1"/>
        <v>Commodities</v>
      </c>
    </row>
  </sheetData>
  <autoFilter ref="A1:Q20" xr:uid="{E418CA3F-0457-40A9-88AB-CAAEF2AD4C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IVLowETF</vt:lpstr>
      <vt:lpstr>LALR</vt:lpstr>
      <vt:lpstr>LAHR</vt:lpstr>
      <vt:lpstr>HALR</vt:lpstr>
      <vt:lpstr>HAHR</vt:lpstr>
      <vt:lpstr>Chart</vt:lpstr>
      <vt:lpstr>Selection</vt:lpstr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Spreafico</cp:lastModifiedBy>
  <dcterms:created xsi:type="dcterms:W3CDTF">2026-02-21T17:03:48Z</dcterms:created>
  <dcterms:modified xsi:type="dcterms:W3CDTF">2026-02-28T20:44:31Z</dcterms:modified>
</cp:coreProperties>
</file>